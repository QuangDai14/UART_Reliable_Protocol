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Quang Dai\Desktop\He_Thong_Nhung_1\"/>
    </mc:Choice>
  </mc:AlternateContent>
  <bookViews>
    <workbookView xWindow="0" yWindow="0" windowWidth="28800" windowHeight="12210" activeTab="1"/>
  </bookViews>
  <sheets>
    <sheet name="Tổng quan" sheetId="1" r:id="rId1"/>
    <sheet name="Đề tài Khó" sheetId="2" r:id="rId2"/>
    <sheet name="Đề tài Vừa" sheetId="3" r:id="rId3"/>
    <sheet name="Đề tài Dễ" sheetId="4" r:id="rId4"/>
    <sheet name="Kế hoạch 4 tuần" sheetId="5" r:id="rId5"/>
    <sheet name="Tiêu chí đánh giá" sheetId="6" r:id="rId6"/>
    <sheet name="Đăng ký nhóm" sheetId="7" r:id="rId7"/>
    <sheet name="DS_ma" sheetId="8" state="hidden" r:id="rId8"/>
  </sheets>
  <definedNames>
    <definedName name="_xlnm._FilterDatabase" localSheetId="3" hidden="1">'Đề tài Dễ'!$A$2:$M$20</definedName>
    <definedName name="_xlnm._FilterDatabase" localSheetId="1" hidden="1">'Đề tài Khó'!$A$2:$M$5</definedName>
    <definedName name="_xlnm._FilterDatabase" localSheetId="2" hidden="1">'Đề tài Vừa'!$A$2:$M$11</definedName>
    <definedName name="_xlnm.Print_Titles" localSheetId="3">'Đề tài Dễ'!$2:$2</definedName>
    <definedName name="_xlnm.Print_Titles" localSheetId="1">'Đề tài Khó'!$2:$2</definedName>
    <definedName name="_xlnm.Print_Titles" localSheetId="2">'Đề tài Vừa'!$2:$2</definedName>
  </definedNames>
  <calcPr calcId="162913"/>
</workbook>
</file>

<file path=xl/calcChain.xml><?xml version="1.0" encoding="utf-8"?>
<calcChain xmlns="http://schemas.openxmlformats.org/spreadsheetml/2006/main">
  <c r="E43" i="7" l="1"/>
  <c r="D43" i="7"/>
  <c r="E42" i="7"/>
  <c r="D42" i="7"/>
  <c r="E41" i="7"/>
  <c r="D41" i="7"/>
  <c r="E40" i="7"/>
  <c r="D40" i="7"/>
  <c r="E39" i="7"/>
  <c r="D39" i="7"/>
  <c r="E38" i="7"/>
  <c r="D38" i="7"/>
  <c r="E37" i="7"/>
  <c r="D37" i="7"/>
  <c r="E36" i="7"/>
  <c r="D36" i="7"/>
  <c r="E35" i="7"/>
  <c r="D35" i="7"/>
  <c r="E34" i="7"/>
  <c r="D34" i="7"/>
  <c r="E33" i="7"/>
  <c r="D33" i="7"/>
  <c r="E32" i="7"/>
  <c r="D32" i="7"/>
  <c r="E31" i="7"/>
  <c r="D31" i="7"/>
  <c r="E30" i="7"/>
  <c r="D30" i="7"/>
  <c r="E29" i="7"/>
  <c r="D29" i="7"/>
  <c r="E28" i="7"/>
  <c r="D28" i="7"/>
  <c r="E27" i="7"/>
  <c r="D27" i="7"/>
  <c r="E26" i="7"/>
  <c r="D26" i="7"/>
  <c r="E25" i="7"/>
  <c r="D25" i="7"/>
  <c r="E24" i="7"/>
  <c r="D24" i="7"/>
  <c r="E23" i="7"/>
  <c r="D23" i="7"/>
  <c r="E22" i="7"/>
  <c r="D22" i="7"/>
  <c r="E21" i="7"/>
  <c r="D21" i="7"/>
  <c r="E20" i="7"/>
  <c r="D20" i="7"/>
  <c r="E19" i="7"/>
  <c r="D19" i="7"/>
  <c r="E18" i="7"/>
  <c r="D18" i="7"/>
  <c r="E17" i="7"/>
  <c r="D17" i="7"/>
  <c r="E16" i="7"/>
  <c r="D16" i="7"/>
  <c r="E15" i="7"/>
  <c r="D15" i="7"/>
  <c r="E14" i="7"/>
  <c r="D14" i="7"/>
  <c r="E13" i="7"/>
  <c r="D13" i="7"/>
  <c r="E12" i="7"/>
  <c r="D12" i="7"/>
  <c r="E11" i="7"/>
  <c r="D11" i="7"/>
  <c r="E10" i="7"/>
  <c r="D10" i="7"/>
  <c r="E9" i="7"/>
  <c r="D9" i="7"/>
  <c r="E8" i="7"/>
  <c r="D8" i="7"/>
  <c r="E7" i="7"/>
  <c r="D7" i="7"/>
  <c r="E6" i="7"/>
  <c r="D6" i="7"/>
  <c r="E5" i="7"/>
  <c r="D5" i="7"/>
  <c r="E4" i="7"/>
  <c r="D4" i="7"/>
  <c r="C10" i="6"/>
  <c r="C7" i="1"/>
  <c r="C6" i="1"/>
  <c r="C5" i="1"/>
  <c r="C8" i="1" s="1"/>
  <c r="D5" i="1" l="1"/>
  <c r="D7" i="1"/>
  <c r="D6" i="1"/>
  <c r="D8" i="1" l="1"/>
</calcChain>
</file>

<file path=xl/comments1.xml><?xml version="1.0" encoding="utf-8"?>
<comments xmlns="http://schemas.openxmlformats.org/spreadsheetml/2006/main">
  <authors>
    <author>GV</author>
  </authors>
  <commentList>
    <comment ref="E5" authorId="0" shapeId="0">
      <text>
        <r>
          <rPr>
            <sz val="11"/>
            <color theme="1"/>
            <rFont val="Calibri"/>
            <family val="2"/>
            <scheme val="minor"/>
          </rPr>
          <t>Điểm trần theo mức độ là gợi ý của người soạn — giảng viên chỉnh lại ở cột này.</t>
        </r>
      </text>
    </comment>
  </commentList>
</comments>
</file>

<file path=xl/sharedStrings.xml><?xml version="1.0" encoding="utf-8"?>
<sst xmlns="http://schemas.openxmlformats.org/spreadsheetml/2006/main" count="685" uniqueCount="434">
  <si>
    <t>ĐỀ TÀI BÀI TẬP LỚN – LẬP TRÌNH HỆ THỐNG NHÚNG (STM32 + HAL)</t>
  </si>
  <si>
    <t>Nhóm 4 sinh viên · thời gian 4 tuần · mỗi sinh viên phụ trách 1 module riêng, SV4 kiêm tích hợp</t>
  </si>
  <si>
    <t>Mức độ</t>
  </si>
  <si>
    <t>Số đề tài</t>
  </si>
  <si>
    <t>Tỉ lệ</t>
  </si>
  <si>
    <t>Điểm tối đa (gợi ý)</t>
  </si>
  <si>
    <t>Đặc điểm</t>
  </si>
  <si>
    <t>Dễ</t>
  </si>
  <si>
    <t>Dùng HAL + CubeMX; ghép 3–4 ngoại vi quen thuộc (GPIO, EXTI, Timer, PWM, ADC, UART, I2C LCD) thành một sản phẩm hoàn chỉnh. Mỗi SV làm chủ 1 ngoại vi/module.</t>
  </si>
  <si>
    <t>Vừa</t>
  </si>
  <si>
    <t>Dùng HAL nhưng cần thêm: DMA, giao thức truyền thông, nhiều board, phần mềm PC, thuật toán điều khiển/lọc, hoặc bố trí bộ nhớ Flash.</t>
  </si>
  <si>
    <t>Khó</t>
  </si>
  <si>
    <t>Tự xây dựng driver/thư viện hoặc thuật toán (mức thanh ghi, giao thức tin cậy, bộ lọc Kalman); yêu cầu đo đạc, đánh giá định lượng.</t>
  </si>
  <si>
    <t>Tổng</t>
  </si>
  <si>
    <t>Tỉ lệ yêu cầu: Khó 10% – Vừa 30% – Dễ 60%</t>
  </si>
  <si>
    <t>QUY ĐỊNH CHUNG</t>
  </si>
  <si>
    <t>1. Mỗi đề tài dành cho 1 nhóm 4 SV; có thể giao cùng một đề cho 2 nhóm ở 2 lớp khác nhau.</t>
  </si>
  <si>
    <t>2. Nền tảng: STM32 (F103C8T6/Blue Pill hoặc Nucleo F4), STM32CubeIDE + HAL. Riêng đề Khó được yêu cầu viết mức thanh ghi ở phần ghi rõ trong đề.</t>
  </si>
  <si>
    <t>3. Mỗi SV sở hữu ít nhất 1 module riêng (cặp file .c/.h có API rõ ràng). SV4 kiêm tích hợp, kiểm thử và biên tập báo cáo, nhưng mọi thành viên đều phải viết phần báo cáo về module của mình.</t>
  </si>
  <si>
    <t>4. Tuần 1 nhóm phải chốt: sơ đồ khối, sơ đồ chân (pinout), file .h giao tiếp giữa các module → các SV làm song song, không chờ nhau.</t>
  </si>
  <si>
    <t>5. Quản lý mã nguồn bằng Git (GitHub/GitLab); lịch sử commit là minh chứng đóng góp cá nhân.</t>
  </si>
  <si>
    <t>6. Không dùng HAL_Delay trong vòng lặp chính (trừ khi đề cho phép); ưu tiên ngắt Timer / máy trạng thái.</t>
  </si>
  <si>
    <t>7. Sản phẩm nộp: mã nguồn, báo cáo (sơ đồ khối, sơ đồ nguyên lý, lưu đồ/FSM, kết quả đo), video demo 3–5 phút.</t>
  </si>
  <si>
    <t>8. Điểm cộng khi làm phần "Mở rộng" nhưng không vượt điểm tối đa của mức đề.</t>
  </si>
  <si>
    <t>DANH MỤC ĐỀ TÀI</t>
  </si>
  <si>
    <t>Mã đề</t>
  </si>
  <si>
    <t>Tên đề tài</t>
  </si>
  <si>
    <t>K01</t>
  </si>
  <si>
    <t>Giao thức truyền dữ liệu tin cậy qua UART giữa 2 board</t>
  </si>
  <si>
    <t>K02</t>
  </si>
  <si>
    <t>Tự xây dựng driver I2C mức thanh ghi và thư viện màn hình OLED</t>
  </si>
  <si>
    <t>K03</t>
  </si>
  <si>
    <t>Ước lượng góc nghiêng MPU6050: bộ lọc bù và Kalman tự viết</t>
  </si>
  <si>
    <t>V01</t>
  </si>
  <si>
    <t>Giao thức khung dữ liệu UART giữa PC và vi điều khiển</t>
  </si>
  <si>
    <t>V02</t>
  </si>
  <si>
    <t>Đo hiệu năng UART: Polling – Interrupt – DMA</t>
  </si>
  <si>
    <t>V03</t>
  </si>
  <si>
    <t>Trạm thời tiết mini ghi dữ liệu vào thẻ SD</t>
  </si>
  <si>
    <t>V04</t>
  </si>
  <si>
    <t>Mạng giám sát 3 node qua RS485 (Modbus RTU rút gọn)</t>
  </si>
  <si>
    <t>V05</t>
  </si>
  <si>
    <t>Điều khiển PID tốc độ / vị trí động cơ DC có encoder</t>
  </si>
  <si>
    <t>V06</t>
  </si>
  <si>
    <t>Bootloader nạp firmware qua UART</t>
  </si>
  <si>
    <t>V07</t>
  </si>
  <si>
    <t>Máy hiện sóng mini</t>
  </si>
  <si>
    <t>V08</t>
  </si>
  <si>
    <t>Hệ thống điểm danh bằng thẻ RFID</t>
  </si>
  <si>
    <t>V09</t>
  </si>
  <si>
    <t>Bệ cân bằng tự động 2 trục (gimbal) dùng MPU6050</t>
  </si>
  <si>
    <t>D01</t>
  </si>
  <si>
    <t>Đèn giao thông ngã tư có đếm lùi và chế độ ưu tiên</t>
  </si>
  <si>
    <t>D02</t>
  </si>
  <si>
    <t>Bộ đếm sản phẩm trên băng chuyền</t>
  </si>
  <si>
    <t>D03</t>
  </si>
  <si>
    <t>Đồng hồ báo thức dùng RTC nội</t>
  </si>
  <si>
    <t>D04</t>
  </si>
  <si>
    <t>Trạm đo nhiệt độ – độ ẩm DHT11 tự giải mã giao thức</t>
  </si>
  <si>
    <t>D05</t>
  </si>
  <si>
    <t>Đèn thông minh tự điều chỉnh theo ánh sáng môi trường</t>
  </si>
  <si>
    <t>D06</t>
  </si>
  <si>
    <t>Điều khiển thiết bị qua giao diện lệnh UART (mini shell)</t>
  </si>
  <si>
    <t>D07</t>
  </si>
  <si>
    <t>Cảm biến lùi xe bằng siêu âm</t>
  </si>
  <si>
    <t>D08</t>
  </si>
  <si>
    <t>Thu thập dữ liệu ADC đa kênh hiển thị LCD</t>
  </si>
  <si>
    <t>D09</t>
  </si>
  <si>
    <t>Máy phát xung và đo tần số</t>
  </si>
  <si>
    <t>D10</t>
  </si>
  <si>
    <t>Khóa cửa điện tử dùng bàn phím ma trận</t>
  </si>
  <si>
    <t>D11</t>
  </si>
  <si>
    <t>Điều khiển và đo tốc độ động cơ DC</t>
  </si>
  <si>
    <t>D12</t>
  </si>
  <si>
    <t>Hệ thống tưới cây tự động</t>
  </si>
  <si>
    <t>D13</t>
  </si>
  <si>
    <t>Trò chơi đo phản xạ – so sánh Polling và Interrupt</t>
  </si>
  <si>
    <t>D14</t>
  </si>
  <si>
    <t>Hệ thống giám sát tự phục hồi dùng Watchdog</t>
  </si>
  <si>
    <t>D15</t>
  </si>
  <si>
    <t>Nút cảm biến tiết kiệm năng lượng (Run / Sleep / Stop)</t>
  </si>
  <si>
    <t>D16</t>
  </si>
  <si>
    <t>Menu điều khiển trên OLED với encoder xoay</t>
  </si>
  <si>
    <t>D17</t>
  </si>
  <si>
    <t>Thước thủy điện tử dùng MPU6050</t>
  </si>
  <si>
    <t>D18</t>
  </si>
  <si>
    <t>Đàn điện tử mini</t>
  </si>
  <si>
    <t>DANH SÁCH ĐỀ TÀI MỨC KHÓ – 10% (3 đề)</t>
  </si>
  <si>
    <t>STT</t>
  </si>
  <si>
    <t>Mô tả &amp; mục tiêu</t>
  </si>
  <si>
    <t>Phần cứng chính</t>
  </si>
  <si>
    <t>Ngoại vi / kiến thức STM32</t>
  </si>
  <si>
    <t>SV1 – nhiệm vụ</t>
  </si>
  <si>
    <t>SV2 – nhiệm vụ</t>
  </si>
  <si>
    <t>SV3 – nhiệm vụ</t>
  </si>
  <si>
    <t>SV4 – nhiệm vụ (kiêm tích hợp)</t>
  </si>
  <si>
    <t>Yêu cầu demo / tiêu chí đạt</t>
  </si>
  <si>
    <t>Mở rộng (điểm cộng)</t>
  </si>
  <si>
    <t>Board A đọc cảm biến và gửi sang board B qua UART, bảo đảm không mất và không trùng gói: đóng khung (SOF + byte stuffing/COBS), số thứ tự, CRC16, ACK/NACK, timeout + truyền lại, tự đồng bộ lại khi nhiễu; nâng từ Stop-and-Wait lên cửa sổ trượt. Có module chèn lỗi để demo.</t>
  </si>
  <si>
    <t>2 STM32, 2 LCD/OLED, dây UART (có công tắc ngắt dây), nút chèn lỗi, logic analyzer</t>
  </si>
  <si>
    <t>UART DMA/ngắt, FSM, CRC16, byte stuffing (SLIP/COBS), Timer timeout, thống kê hiệu năng</t>
  </si>
  <si>
    <t>Tầng khung: đóng khung, byte stuffing/COBS; bộ tách khung tự đồng bộ lại khi mất byte hoặc có rác</t>
  </si>
  <si>
    <t>Tầng tin cậy: số thứ tự, ACK/NACK, timeout + truyền lại có giới hạn, loại gói trùng; Stop-and-Wait → cửa sổ trượt (Go-Back-N)</t>
  </si>
  <si>
    <t>Module chèn lỗi (bên phát hoặc board trung gian): bỏ gói, đảo bit, chèn rác, làm trễ ACK — điều khiển bằng nút/UART</t>
  </si>
  <si>
    <t>Ứng dụng + đo đạc: dữ liệu cảm biến; LCD hai bên hiển thị số gói gửi/nhận/truyền lại/lỗi CRC, thông lượng; kịch bản demo; báo cáo</t>
  </si>
  <si>
    <t>Bắt buộc demo: (1) mất ACK → timeout → truyền lại, bên nhận không nhận trùng; (2) đảo bit → CRC sai → NACK → gửi lại; (3) chèn rác / rút dây giữa khung → mất đồng bộ, bộ tách khung tự bắt lại khung kế tiếp; (4) gửi 10.000 gói không mất gói, có thống kê</t>
  </si>
  <si>
    <t>So sánh thông lượng Stop-and-Wait và Go-Back-N theo tỉ lệ lỗi</t>
  </si>
  <si>
    <t>Không dùng HAL_I2C và thư viện màn hình có sẵn: tự viết driver I2C mức thanh ghi (START, địa chỉ, ACK, đọc/ghi nhiều byte, timeout, phục hồi bus); trên đó viết driver 2–3 cảm biến và thư viện đồ họa SSD1306 từ tập lệnh (framebuffer, font, đường, hình, đồ thị). Màn hình hiển thị "ten_cam_bien: dia_chi_i2c" và "ten_cam_bien: gia_tri".</t>
  </si>
  <si>
    <t>STM32F1/F4, OLED SSD1306 I2C, 2–3 cảm biến I2C (BMP280, AHT20, MPU6050, BH1750...), logic analyzer</t>
  </si>
  <si>
    <t>Reference Manual (I2C_CR1/CR2/SR1/SR2/DR/CCR/TRISE), memory-mapped I/O, datasheet cảm biến, tập lệnh SSD1306</t>
  </si>
  <si>
    <t>Driver I2C thanh ghi: bật clock/GPIO, tính CCR/TRISE, START/STOP, ghi/đọc N byte, xử lý NACK, timeout, phục hồi bus (9 xung SCL); hàm quét địa chỉ</t>
  </si>
  <si>
    <t>Driver 2–3 cảm biến chạy trên driver I2C tự viết: đọc ID, cấu hình, đọc dữ liệu, công thức bù/quy đổi</t>
  </si>
  <si>
    <t>Thư viện SSD1306 từ tập lệnh: khởi tạo, framebuffer, gửi màn hình, font 5x7/8x16, vẽ điểm/đường/hình chữ nhật, đồ thị</t>
  </si>
  <si>
    <t>Tích hợp: màn hình danh sách thiết bị (tên – địa chỉ) và giá trị; so sánh tốc độ/kích thước code với HAL; kiểm thử lỗi (rút cảm biến); ảnh logic analyzer; báo cáo</t>
  </si>
  <si>
    <t>Project không có lời gọi HAL_I2C_*; quét đúng địa chỉ; rút 1 cảm biến → báo lỗi, hệ thống không treo; ảnh logic analyzer khung I2C khớp với code</t>
  </si>
  <si>
    <t>Driver I2C dùng ngắt/DMA mức thanh ghi</t>
  </si>
  <si>
    <t>Tự viết toàn bộ phần tính toán (không dùng thư viện tính góc / DMP): hiệu chuẩn cảm biến, góc từ gia tốc, tích phân gyro, bộ lọc bù, bộ lọc Kalman 2 trạng thái (góc + bias); đánh giá định lượng trên bàn đối chứng; hiển thị và mô hình 3D trên PC.</t>
  </si>
  <si>
    <t>STM32 (ưu tiên F4 có FPU), MPU6050, OLED/LED 7 đoạn, servo làm bàn đối chứng góc, PC</t>
  </si>
  <si>
    <t>HAL I2C đọc raw, lấy mẫu chính xác, toán lọc (Kalman), số thực / fixed-point, đo thời gian thực thi (DWT)</t>
  </si>
  <si>
    <t>Tầng dữ liệu: đọc raw 6 trục 500 Hz theo ngắt INT/Timer, cấu hình DLPF, hiệu chuẩn offset/scale (phương pháp 6 mặt)</t>
  </si>
  <si>
    <t>Thuật toán: góc từ gia tốc, tích phân gyro, bộ lọc bù (chọn hệ số α), Kalman 2 trạng thái; bản float và fixed-point; đo thời gian thực thi</t>
  </si>
  <si>
    <t>Đánh giá: bàn đối chứng dùng servo quay góc biết trước; đo sai số, độ trễ, độ trôi, đáp ứng khi rung; so sánh 4 phương pháp</t>
  </si>
  <si>
    <t>Ứng dụng + PC: hiển thị OLED/LED 7 đoạn; công cụ PC vẽ đồ thị thời gian thực và mô hình 3D (Python); báo cáo</t>
  </si>
  <si>
    <t>Đồ thị 4 phương pháp trên cùng một thí nghiệm; Kalman sai số tĩnh &lt; 1°, không trôi sau 5 phút; mô hình 3D trên PC bám theo cảm biến</t>
  </si>
  <si>
    <t>Thêm góc Yaw bằng từ kế (HMC5883L/QMC5883L)</t>
  </si>
  <si>
    <t>DANH SÁCH ĐỀ TÀI MỨC VỪA – 30% (9 đề)</t>
  </si>
  <si>
    <t>Thiết kế giao thức khung [0xAA 0x55][LEN][CMD][DATA...][CHECKSUM]. Board nhận từng byte bằng máy trạng thái; phần mềm PC (Python/C#) gửi lệnh điều khiển LED/PWM, đọc cảm biến và hiển thị; xử lý khung sai.</t>
  </si>
  <si>
    <t>STM32, USB-UART, cảm biến (DHT11/ADC), LED, PC</t>
  </si>
  <si>
    <t>UART ngắt, FSM phân tích khung, checksum/CRC8, Python pyserial + GUI</t>
  </si>
  <si>
    <t>Đặc tả giao thức (định dạng khung, bảng lệnh, mã lỗi) + FSM phân tích khung trên STM32</t>
  </si>
  <si>
    <t>Tầng ứng dụng trên board: thực thi lệnh (LED, PWM, ADC, DHT11), đóng gói phản hồi ACK/NACK</t>
  </si>
  <si>
    <t>Phần mềm PC (Python + Tkinter/PyQt): gửi lệnh, hiển thị phản hồi, vẽ đồ thị</t>
  </si>
  <si>
    <t>Kiểm thử lỗi: công cụ PC gửi khung sai (sai checksum, thiếu byte, rác giữa các khung), đo tỉ lệ khung đúng; báo cáo</t>
  </si>
  <si>
    <t>GUI điều khiển được board; khung lỗi bị loại và trả NACK; chèn byte rác thì parser tự đồng bộ lại</t>
  </si>
  <si>
    <t>CRC16; truyền dữ liệu streaming 100 Hz</t>
  </si>
  <si>
    <t>Truyền/nhận khối dữ liệu lớn qua UART bằng 3 cách; đo thời gian truyền, tải CPU, khả năng làm việc song song; nhận dữ liệu độ dài thay đổi bằng DMA + IDLE line.</t>
  </si>
  <si>
    <t>STM32, USB-UART tốc độ cao (CP2102/CH340), logic analyzer, LED</t>
  </si>
  <si>
    <t>UART polling/IT/DMA, DMA circular, IDLE line, DWT cycle counter, đo tải CPU</t>
  </si>
  <si>
    <t>Phía truyền: 3 phiên bản polling/IT/DMA; đo thời gian và số chu kỳ CPU bận</t>
  </si>
  <si>
    <t>Phía nhận: DMA circular + ngắt IDLE (HAL_UARTEx_ReceiveToIdle_DMA), double buffer, không mất byte ở 921600 baud</t>
  </si>
  <si>
    <t>Công cụ đo: tải CPU bằng bộ đếm tác vụ nền (idle counter); GPIO toggle đo trên logic analyzer</t>
  </si>
  <si>
    <t>Kịch bản thí nghiệm: script PC gửi/nhận 1 MB, kiểm tra toàn vẹn (CRC), bảng + biểu đồ so sánh; báo cáo</t>
  </si>
  <si>
    <t>Bảng so sánh 3 phương pháp ở 3 baud rate; nhận 1 MB không lỗi; chứng minh CPU làm việc khác khi DMA đang truyền</t>
  </si>
  <si>
    <t>Mở rộng phép so sánh cho SPI hoặc ADC</t>
  </si>
  <si>
    <t>Đo nhiệt độ, độ ẩm, áp suất (BMP280/BME280 + AHT20) qua I2C, gắn thời gian RTC, hiển thị OLED kèm đồ thị, ghi file CSV lên thẻ microSD (SPI + FatFs của CubeMX), tra cứu qua UART.</t>
  </si>
  <si>
    <t>STM32, BMP280/BME280, AHT20/DHT11, OLED SSD1306, module microSD (SPI), pin RTC</t>
  </si>
  <si>
    <t>I2C (HAL), SPI, FatFs middleware, RTC, bộ đệm vòng</t>
  </si>
  <si>
    <t>Driver cảm biến qua HAL_I2C: BMP280 (đọc hệ số hiệu chuẩn, công thức bù theo datasheet), AHT20</t>
  </si>
  <si>
    <t>Ghi thẻ SD: FatFs trên SPI, tạo file theo ngày, ghi CSV, xử lý khi rút thẻ</t>
  </si>
  <si>
    <t>OLED: trang số liệu, trang đồ thị theo thời gian (bộ đệm vòng), chuyển trang bằng nút</t>
  </si>
  <si>
    <t>RTC + lập lịch đo mỗi phút; lệnh UART đọc/xóa log; tích hợp, chạy thử dài hạn; báo cáo</t>
  </si>
  <si>
    <t>Chạy liên tục ≥ 2 giờ, file CSV mở được bằng Excel; đồ thị trên OLED; rút/cắm thẻ không treo hệ thống</t>
  </si>
  <si>
    <t>Dự báo xu hướng thời tiết theo biến thiên áp suất</t>
  </si>
  <si>
    <t>1 board Master và 2 board Slave nối bus RS485. Master định kỳ hỏi dữ liệu cảm biến của các Slave, điều khiển relay/LED từ xa; dùng khung Modbus RTU (địa chỉ, mã hàm, CRC16), timeout và thử lại.</t>
  </si>
  <si>
    <t>3 STM32, 3 module MAX485, cảm biến (DHT11/biến trở), LCD cho Master, relay/LED</t>
  </si>
  <si>
    <t>UART + điều khiển DE/RE, CRC16 Modbus, timeout 3,5 ký tự bằng Timer, FSM master/slave</t>
  </si>
  <si>
    <t>Tầng vật lý: UART–RS485 bán song công, bật/tắt DE/RE đúng lúc (ngắt TC), phát hiện kết thúc khung bằng Timer</t>
  </si>
  <si>
    <t>Firmware Slave: bảng thanh ghi Modbus (holding/input), mã hàm 03/06, CRC16</t>
  </si>
  <si>
    <t>Firmware Master: vòng hỏi các Slave, timeout + retry, đánh dấu Slave mất kết nối</t>
  </si>
  <si>
    <t>Giao diện Master: LCD hiển thị dữ liệu 2 Slave, nút điều khiển relay từ xa; thử với Modbus Poll/QModMaster; báo cáo</t>
  </si>
  <si>
    <t>Master đọc được 2 Slave; rút dây 1 Slave → báo mất kết nối, cắm lại tự phục hồi; tương thích công cụ Modbus trên PC</t>
  </si>
  <si>
    <t>Mã hàm 16 (ghi nhiều thanh ghi); PC đóng vai Master</t>
  </si>
  <si>
    <t>Điều khiển vòng kín tốc độ và vị trí động cơ DC dùng encoder (Timer Encoder mode); bộ PID số chạy trong ngắt Timer chu kỳ cố định; chỉnh Kp/Ki/Kd qua UART; vẽ đáp ứng bước trên PC.</t>
  </si>
  <si>
    <t>STM32, động cơ DC có encoder (JGA25-370), TB6612/L298N, nguồn, USB-UART</t>
  </si>
  <si>
    <t>Timer Encoder mode, PWM, ngắt Timer định kỳ, PID rời rạc, anti-windup, Python matplotlib</t>
  </si>
  <si>
    <t>Đo tốc độ/vị trí: Timer Encoder mode, xử lý tràn bộ đếm, lọc tốc độ</t>
  </si>
  <si>
    <t>PID rời rạc trong ngắt 1 kHz, anti-windup, bão hòa đầu ra; vòng vị trí bao ngoài vòng tốc độ</t>
  </si>
  <si>
    <t>Công cụ PC: gửi setpoint/tham số, nhận dữ liệu thời gian thực, vẽ đáp ứng, tính overshoot &amp; thời gian xác lập</t>
  </si>
  <si>
    <t>Thí nghiệm chỉnh PID (thủ công/Ziegler–Nichols), so sánh P, PI, PID, thêm tải; LCD; báo cáo</t>
  </si>
  <si>
    <t>Đáp ứng bước tốc độ: overshoot &lt; 10%, sai số xác lập &lt; 2%; giữ vị trí khi xoay trục bằng tay; đồ thị so sánh</t>
  </si>
  <si>
    <t>Profile vận tốc hình thang cho điều khiển vị trí</t>
  </si>
  <si>
    <t>Chia Flash thành vùng bootloader và vùng ứng dụng. Bootloader nhận file .bin từ PC qua UART theo gói có checksum, xóa/ghi Flash (HAL_FLASH), kiểm tra CRC rồi nhảy sang ứng dụng.</t>
  </si>
  <si>
    <t>STM32 (Flash ≥ 64 KB), USB-UART, nút nhấn, LED</t>
  </si>
  <si>
    <t>Bản đồ bộ nhớ, linker script, HAL_FLASH, dời bảng vector (SCB-&gt;VTOR), nhảy bằng con trỏ hàm, CRC</t>
  </si>
  <si>
    <t>Bố trí bộ nhớ: sửa linker script ứng dụng, VTOR, hàm nhảy sang ứng dụng (đặt MSP, gọi Reset_Handler)</t>
  </si>
  <si>
    <t>Module Flash: xóa trang, ghi half-word/word, đọc lại kiểm tra, bảo vệ vùng bootloader</t>
  </si>
  <si>
    <t>Giao thức nạp: gói dữ liệu + ACK/NACK, kiểm tra CRC toàn ảnh trước khi nhảy</t>
  </si>
  <si>
    <t>Công cụ PC (Python) gửi .bin có thanh tiến trình; 2 ứng dụng mẫu (nháy LED nhanh/chậm) để thử; báo cáo</t>
  </si>
  <si>
    <t>Nạp lần lượt ứng dụng A rồi B bằng tool PC, không cần ST-Link; ảnh lỗi (CRC sai) thì ở lại bootloader, không chạy app hỏng</t>
  </si>
  <si>
    <t>Vào bootloader bằng lệnh từ ứng dụng; ký/xác thực firmware đơn giản</t>
  </si>
  <si>
    <t>Lấy mẫu tín hiệu bằng ADC kích bởi Timer + DMA; hiển thị dạng sóng trên OLED/TFT; trigger cạnh lên; chỉnh time/div; đo Vpp, tần số; có bộ phát tín hiệu thử bằng PWM ngay trên board.</t>
  </si>
  <si>
    <t>STM32, OLED SSD1306 hoặc TFT ST7735 (được dùng thư viện), nút/encoder, mạch phân áp và bảo vệ đầu vào</t>
  </si>
  <si>
    <t>ADC + Timer trigger + DMA (half/full transfer), xử lý tín hiệu, đồ họa</t>
  </si>
  <si>
    <t>Thu dữ liệu: ADC kích bằng Timer, DMA double buffer, đổi tốc độ lấy mẫu theo time/div</t>
  </si>
  <si>
    <t>Xử lý: tìm điểm trigger, tính Vmin/Vmax/Vpp, tần số (điểm cắt ngưỡng)</t>
  </si>
  <si>
    <t>Hiển thị: lưới, dạng sóng, thông số; giao diện chỉnh time/div, volt/div, mức trigger</t>
  </si>
  <si>
    <t>Mạch đầu vào (phân áp, bảo vệ); bộ phát tín hiệu thử (PWM + lọc RC); đối chiếu với máy hiện sóng thật; báo cáo</t>
  </si>
  <si>
    <t>Hiển thị ổn định sóng vuông/tam giác 10 Hz–10 kHz; Vpp và tần số sai số &lt; 5% so với máy hiện sóng thật</t>
  </si>
  <si>
    <t>Chế độ FFT hiển thị phổ</t>
  </si>
  <si>
    <t>Đọc thẻ RFID RC522 qua SPI, đối chiếu danh sách thẻ đã đăng ký, ghi thời gian RTC, hiển thị LCD/OLED, còi báo; đăng ký/xóa thẻ bằng thẻ admin; lưu danh sách vào Flash; xuất lịch sử qua UART.</t>
  </si>
  <si>
    <t>STM32, module RC522, LCD/OLED, buzzer, LED, pin RTC</t>
  </si>
  <si>
    <t>SPI (HAL), port thư viện RC522 sang HAL, HAL_FLASH, RTC, UART</t>
  </si>
  <si>
    <t>Port/viết driver RC522 trên HAL_SPI: đọc UID, chống đọc lặp một thẻ</t>
  </si>
  <si>
    <t>Quản lý dữ liệu: danh sách thẻ trong Flash (thêm/xóa/tìm), chế độ admin</t>
  </si>
  <si>
    <t>Nhật ký điểm danh: timestamp RTC, bộ đệm vòng lưu Flash, xuất CSV qua UART</t>
  </si>
  <si>
    <t>Giao diện LCD/OLED + còi/LED; xử lý đi muộn theo giờ quy định; script PC tổng hợp; báo cáo</t>
  </si>
  <si>
    <t>Đăng ký 5 thẻ, điểm danh, xóa thẻ; rút nguồn vẫn giữ danh sách và log; file CSV mở được bằng Excel</t>
  </si>
  <si>
    <t>Ghi dữ liệu vào block của thẻ Mifare</t>
  </si>
  <si>
    <t>Đo góc nghiêng bằng MPU6050 (gia tốc + con quay), kết hợp bằng bộ lọc bù (complementary filter); điều khiển 2 servo giữ mặt trên luôn nằm ngang khi đế bị nghiêng; hiển thị OLED.</t>
  </si>
  <si>
    <t>STM32, MPU6050, 2 servo SG90/MG90, khung gimbal (in 3D/bìa cứng), OLED, nguồn servo riêng</t>
  </si>
  <si>
    <t>HAL I2C, lấy mẫu định kỳ bằng Timer, complementary filter, PWM servo, điều khiển P/PI</t>
  </si>
  <si>
    <t>Đọc MPU6050 200 Hz theo ngắt Timer hoặc chân INT; hiệu chuẩn bias con quay</t>
  </si>
  <si>
    <t>Ước lượng góc: từ gia tốc, tích phân gyro, bộ lọc bù; so sánh 3 cách</t>
  </si>
  <si>
    <t>Điều khiển servo PWM theo µs, bộ điều khiển bù góc, giới hạn tốc độ servo</t>
  </si>
  <si>
    <t>Cơ khí + nguồn; OLED / UART vẽ đồ thị góc; đánh giá đáp ứng khi lắc đế; báo cáo</t>
  </si>
  <si>
    <t>Nghiêng đế ±30°, mặt trên giữ ngang trong ±3°; đồ thị so sánh góc thô và góc sau lọc</t>
  </si>
  <si>
    <t>Thay bộ lọc bù bằng Kalman 1D</t>
  </si>
  <si>
    <t>DANH SÁCH ĐỀ TÀI MỨC DỄ – 60% (18 đề)</t>
  </si>
  <si>
    <t>Điều khiển 2 cột đèn đỏ–vàng–xanh cho ngã tư theo máy trạng thái chạy bằng ngắt Timer (không dùng HAL_Delay). Hiển thị thời gian đếm lùi trên LED 7 đoạn, có nút cho người đi bộ, chế độ đêm (vàng nhấp nháy), chỉnh thời gian từng pha qua UART.</t>
  </si>
  <si>
    <t>STM32, 6 LED, 2 cụm LED 7 đoạn 2 số (hoặc 74HC595/TM1637), 2 nút nhấn, USB-UART</t>
  </si>
  <si>
    <t>GPIO, TIM ngắt định kỳ, EXTI, UART ngắt, máy trạng thái (FSM)</t>
  </si>
  <si>
    <t>Thiết kế FSM các pha đèn; ngắt Timer tạo nhịp 1 ms/1 s; module traffic_fsm.c/.h</t>
  </si>
  <si>
    <t>Driver LED 7 đoạn quét (multiplex) bằng ngắt Timer; hiển thị đếm lùi cho 2 hướng</t>
  </si>
  <si>
    <t>Nút người đi bộ + nút chế độ đêm: EXTI + chống dội phần mềm; xử lý yêu cầu ưu tiên an toàn (chỉ đổi pha sau pha vàng)</t>
  </si>
  <si>
    <t>Giao diện UART: lệnh SET RED 30, GET STATUS...; tích hợp toàn hệ thống, kiểm thử, viết báo cáo</t>
  </si>
  <si>
    <t>Chu kỳ đèn đúng thời gian (sai số &lt; 1%); đếm lùi khớp với đèn; nhấn nút đi bộ rút ngắn pha xanh; đổi thời gian qua UART có hiệu lực ở chu kỳ sau; vòng lặp chính không có HAL_Delay</t>
  </si>
  <si>
    <t>Lưu cấu hình vào Flash; thêm còi báo cho người khiếm thị</t>
  </si>
  <si>
    <t>Cảm biến hồng ngoại phát hiện sản phẩm đi qua (ngắt ngoài), đếm và hiển thị trên LED 7 đoạn. Đóng gói theo lô: đủ N sản phẩm thì còi báo. Tính tốc độ sản phẩm/phút, gửi nhật ký qua UART.</t>
  </si>
  <si>
    <t>STM32, cảm biến IR (FC-51/E18-D80NK), LED 7 đoạn 4 số, buzzer, 3 nút nhấn</t>
  </si>
  <si>
    <t>EXTI, lọc nhiễu tín hiệu cảm biến, Timer, GPIO, UART</t>
  </si>
  <si>
    <t>Đọc cảm biến bằng EXTI, lọc xung nhiễu (khoảng cách tối thiểu giữa 2 sản phẩm), bộ đếm</t>
  </si>
  <si>
    <t>Driver LED 7 đoạn 4 số quét bằng Timer; hiển thị số đếm / số lô</t>
  </si>
  <si>
    <t>Menu nút nhấn: đặt kích thước lô N, reset, tạm dừng (chống dội, phân biệt nhấn ngắn / nhấn giữ)</t>
  </si>
  <si>
    <t>Tính tốc độ SP/phút bằng Timer; UART log mỗi lô; buzzer báo; tích hợp + báo cáo</t>
  </si>
  <si>
    <t>Đếm đúng 100/100 lần đưa vật qua; nhấn giữ 2 s để reset; đổi N bằng nút; log UART có thời điểm</t>
  </si>
  <si>
    <t>Phân loại 2 loại sản phẩm bằng 2 cảm biến ở 2 độ cao</t>
  </si>
  <si>
    <t>Đồng hồ thời gian thực dùng RTC nội của STM32, hiển thị giờ/ngày trên LCD1602 (I2C). Chỉnh giờ và cài 3 báo thức bằng nút nhấn; chuông báo bằng buzzer PWM phát giai điệu; đặt giờ từ PC qua UART.</t>
  </si>
  <si>
    <t>STM32 (thạch anh 32.768 kHz, pin VBAT), LCD1602 + PCF8574, 3–4 nút, buzzer thụ động</t>
  </si>
  <si>
    <t>RTC, RTC Alarm interrupt, backup register, I2C (HAL), PWM, EXTI</t>
  </si>
  <si>
    <t>Cấu hình RTC + LSE; giữ giờ khi reset (backup register); hàm đọc/đặt giờ-ngày</t>
  </si>
  <si>
    <t>Hiển thị LCD1602 qua I2C: màn hình giờ, ngày, thứ; màn hình cài đặt nhấp nháy trường đang chỉnh</t>
  </si>
  <si>
    <t>Xử lý nút: FSM giao diện, chế độ chỉnh giờ / báo thức (nhấn ngắn, nhấn giữ, tăng nhanh khi giữ)</t>
  </si>
  <si>
    <t>Báo thức: ngắt RTC Alarm, buzzer PWM phát giai điệu, snooze; lệnh UART "SETTIME hh:mm:ss"; tích hợp + báo cáo</t>
  </si>
  <si>
    <t>Sai lệch &lt; 2 s/giờ; reset MCU không mất giờ; báo thức kêu đúng phút đã đặt; chỉnh giờ bằng nút</t>
  </si>
  <si>
    <t>Script Python tự đồng bộ giờ từ PC</t>
  </si>
  <si>
    <t>Tự viết hàm đọc DHT11 (giao thức 1 dây riêng) bằng đo độ rộng xung với Timer, không dùng thư viện có sẵn. Hiển thị LCD, cảnh báo vượt ngưỡng, lưu min/max, xuất dữ liệu qua UART.</t>
  </si>
  <si>
    <t>STM32, DHT11, LCD1602 I2C, LED RGB, buzzer, nút nhấn, logic analyzer</t>
  </si>
  <si>
    <t>GPIO đổi chiều in/out, Timer đo µs, giản đồ thời gian, checksum, I2C LCD, UART</t>
  </si>
  <si>
    <t>Hàm delay µs bằng Timer + đọc 40 bit DHT11, kiểm tra checksum, timeout (không treo khi rút cảm biến)</t>
  </si>
  <si>
    <t>Hiển thị LCD: nhiệt độ, độ ẩm, ký tự tự tạo (CGRAM), trang min/max</t>
  </si>
  <si>
    <t>Cảnh báo ngưỡng: đặt ngưỡng bằng nút; LED RGB (PWM) đổi màu theo mức; buzzer</t>
  </si>
  <si>
    <t>UART log định kỳ dạng CSV + vẽ đồ thị trên PC (Python/Excel); chụp giản đồ bằng logic analyzer; tích hợp + báo cáo</t>
  </si>
  <si>
    <t>Đọc đúng, tỉ lệ lỗi checksum &lt; 5%; rút cảm biến hiện "ERR" không treo; ảnh logic analyzer khung 40 bit; cảnh báo đúng ngưỡng</t>
  </si>
  <si>
    <t>Thêm DS18B20 (1-Wire chuẩn) để so sánh</t>
  </si>
  <si>
    <t>Đọc quang trở (LDR) và biến trở qua ADC, điều chỉnh độ sáng dải LED bằng PWM; chế độ tự động/tay; hiển thị % độ sáng trên LED 7 đoạn; cảm biến PIR bật đèn khi có người.</t>
  </si>
  <si>
    <t>STM32, LDR, biến trở, PIR HC-SR501, MOSFET + dải LED, LED 7 đoạn, nút nhấn</t>
  </si>
  <si>
    <t>ADC đa kênh (scan), PWM, EXTI, lọc trung bình trượt, hiệu chỉnh gamma</t>
  </si>
  <si>
    <t>ADC đa kênh (LDR + biến trở), lọc trung bình trượt, quy đổi %</t>
  </si>
  <si>
    <t>PWM điều khiển độ sáng, bảng gamma để mắt cảm nhận tuyến tính, chuyển sáng mượt (fade)</t>
  </si>
  <si>
    <t>LED 7 đoạn hiển thị % / chế độ; nút chuyển Auto/Manual</t>
  </si>
  <si>
    <t>PIR bật đèn khi có người, tự tắt sau T giây (Timer); UART log; tích hợp + báo cáo</t>
  </si>
  <si>
    <t>Che LDR đèn sáng dần; xoay biến trở ở chế độ Manual; đèn không nhấp nháy; PIR hoạt động đúng</t>
  </si>
  <si>
    <t>Hysteresis chống dao động; điều khiển PI giữ độ rọi không đổi</t>
  </si>
  <si>
    <t>Xây dựng mini shell trên terminal: nhận chuỗi lệnh qua UART ngắt với bộ đệm vòng, phân tích lệnh (LED ON 1, PWM 2 50, READ ADC 0, HELP...), điều khiển LED/relay/PWM, đọc cảm biến, báo lỗi cú pháp.</t>
  </si>
  <si>
    <t>STM32, USB-UART, 4 LED, relay, biến trở, buzzer</t>
  </si>
  <si>
    <t>UART ngắt, ring buffer, xử lý chuỗi C, bảng con trỏ hàm, GPIO, PWM, ADC</t>
  </si>
  <si>
    <t>Driver UART nhận bằng ngắt + ring buffer; echo; xử lý Backspace/Enter</t>
  </si>
  <si>
    <t>Bộ phân tích lệnh (tách token, bảng lệnh dùng con trỏ hàm), thông báo lỗi</t>
  </si>
  <si>
    <t>Nhóm lệnh điều khiển: LED, relay, PWM độ sáng, buzzer, nháy LED theo chu kỳ (Timer)</t>
  </si>
  <si>
    <t>Nhóm lệnh đọc: ADC, trạng thái, uptime, STATUS; lệnh HELP; kiểm thử + báo cáo</t>
  </si>
  <si>
    <t>≥ 10 lệnh; gõ sai báo lỗi; dán chuỗi dài không mất ký tự; không dùng HAL_UART_Receive dạng polling</t>
  </si>
  <si>
    <t>Lịch sử lệnh (phím mũi tên), tự hoàn thành bằng Tab</t>
  </si>
  <si>
    <t>Đo khoảng cách bằng HC-SR04 dùng Timer Input Capture; hiển thị cm trên LED 7 đoạn; còi kêu nhanh dần khi lại gần; thanh LED báo mức; lọc nhiễu phép đo.</t>
  </si>
  <si>
    <t>STM32, HC-SR04, LED 7 đoạn 4 số, buzzer, 5 LED thanh mức</t>
  </si>
  <si>
    <t>Timer Input Capture, PWM (xung Trigger, còi), lọc median, bù nhiệt độ cho vận tốc âm</t>
  </si>
  <si>
    <t>Tạo xung Trigger bằng Timer; đo Echo bằng Input Capture cạnh lên/xuống; xử lý timeout</t>
  </si>
  <si>
    <t>Lọc median 5 mẫu + trung bình, loại giá trị ngoại lai; hiệu chuẩn với thước</t>
  </si>
  <si>
    <t>LED 7 đoạn hiển thị cm (quét bằng Timer); thanh LED mức</t>
  </si>
  <si>
    <t>Còi báo nhịp theo khoảng cách, chế độ tắt tiếng, UART log; tích hợp + bảng đo sai số + báo cáo</t>
  </si>
  <si>
    <t>Sai số &lt; 1 cm trong 5–100 cm (bảng 10 điểm đo); không kẹt khi không có vật; còi tăng nhịp khi lại gần</t>
  </si>
  <si>
    <t>2 cảm biến trái/phải, hiển thị bên gần hơn</t>
  </si>
  <si>
    <t>Đọc 4 kênh analog (biến trở, LDR, cảm biến nhiệt nội, điện áp pin qua phân áp) ở chế độ scan, hiển thị tuần tự trên LCD, quy đổi ra đại lượng vật lý, gửi lên PC vẽ đồ thị.</t>
  </si>
  <si>
    <t>STM32, LCD1602/2004, biến trở, LDR, cầu phân áp, nút nhấn</t>
  </si>
  <si>
    <t>ADC scan, kích ADC bằng Timer, DMA (cấu hình bằng CubeMX), lọc số, hiệu chỉnh bằng VREFINT</t>
  </si>
  <si>
    <t>Cấu hình ADC scan 4 kênh kích bằng Timer (tần số lấy mẫu cố định), đọc bằng DMA</t>
  </si>
  <si>
    <t>Xử lý: lọc trung bình, quy đổi V / °C / %; hiệu chỉnh bằng VREFINT</t>
  </si>
  <si>
    <t>LCD: tự cuộn qua các kênh mỗi 2 s hoặc chuyển bằng nút; màn hình tổng hợp</t>
  </si>
  <si>
    <t>UART gửi CSV; vẽ đồ thị bằng Serial Plotter/Python; đối chiếu với đồng hồ vạn năng; báo cáo</t>
  </si>
  <si>
    <t>4 kênh hiển thị đúng (sai lệch &lt; 2% so với đồng hồ vạn năng); tần số lấy mẫu đúng cấu hình; có đồ thị trên PC</t>
  </si>
  <si>
    <t>Cảnh báo ngưỡng từng kênh</t>
  </si>
  <si>
    <t>Phát xung vuông có tần số và độ rộng xung chỉnh được chính xác bằng Timer PWM; đồng thời đo tần số/chu kỳ/duty của tín hiệu ngoài bằng Input Capture; kiểm chứng bằng oscilloscope; hiển thị LCD.</t>
  </si>
  <si>
    <t>STM32, LCD, encoder xoay hoặc nút nhấn, oscilloscope của phòng thí nghiệm</t>
  </si>
  <si>
    <t>Timer PWM (PSC/ARR/CCR), One-pulse mode, Input Capture (PWM input mode), sai số lượng tử</t>
  </si>
  <si>
    <t>Module phát: tự tính PSC/ARR theo tần số yêu cầu (10 Hz–100 kHz), duty 0–100%, xung đơn one-pulse</t>
  </si>
  <si>
    <t>Module đo: Input Capture / PWM input đo chu kỳ &amp; duty; xử lý tràn Timer ở tần số thấp</t>
  </si>
  <si>
    <t>Giao diện: encoder/nút chỉnh tần số, bước chỉnh; LCD hiển thị giá trị đặt/đo</t>
  </si>
  <si>
    <t>Đo kiểm bằng oscilloscope: bảng đặt – đo – oscilloscope, phân tích sai số; lệnh UART; báo cáo</t>
  </si>
  <si>
    <t>Nối chân phát sang chân đo: sai số &lt; 0,5%; ảnh oscilloscope tại 3 tần số; tạo xung đơn 10 µs chính xác</t>
  </si>
  <si>
    <t>Đo tần số cao bằng chế độ External clock (đếm xung)</t>
  </si>
  <si>
    <t>Nhập mật khẩu bằng keypad 4x4, hiển thị LCD dạng ***; mở chốt bằng servo/relay; khóa tạm sau 3 lần sai; đổi mật khẩu; lưu mật khẩu vào Flash để không mất khi mất điện.</t>
  </si>
  <si>
    <t>STM32, keypad 4x4, LCD1602 I2C, servo SG90 hoặc relay + khóa điện, buzzer</t>
  </si>
  <si>
    <t>Quét ma trận phím, PWM điều khiển servo, HAL_FLASH, FSM giao diện, I2C LCD</t>
  </si>
  <si>
    <t>Driver keypad: quét ma trận bằng ngắt Timer, chống dội, nhận phím giữ</t>
  </si>
  <si>
    <t>FSM khóa: nhập, xác thực, sai 3 lần khóa 30 s, đổi mật khẩu (xác nhận 2 lần)</t>
  </si>
  <si>
    <t>Servo PWM mở/đóng, tự đóng sau 5 s; buzzer &amp; LED báo trạng thái</t>
  </si>
  <si>
    <t>Lưu mật khẩu vào Flash (trang cuối), mật khẩu admin khôi phục; màn hình LCD; tích hợp + báo cáo</t>
  </si>
  <si>
    <t>Mở đúng/sai mật khẩu; khóa sau 3 lần sai; đổi mật khẩu rồi rút nguồn vẫn giữ</t>
  </si>
  <si>
    <t>Lưu giá trị băm (hash) thay cho mật khẩu rõ; thêm thẻ RFID</t>
  </si>
  <si>
    <t>Điều khiển tốc độ, chiều quay động cơ DC bằng PWM qua driver L298N/TB6612; đo tốc độ bằng encoder/cảm biến quang; hiển thị RPM trên LCD; đặt tốc độ bằng biến trở hoặc UART.</t>
  </si>
  <si>
    <t>STM32, động cơ DC có encoder (hoặc đĩa + cảm biến quang), L298N/TB6612, LCD, biến trở, nguồn riêng</t>
  </si>
  <si>
    <t>PWM, Input Capture / EXTI, ADC, UART, tính RPM</t>
  </si>
  <si>
    <t>PWM + đảo chiều quay, khởi động mềm (ramp), dừng khẩn cấp bằng EXTI</t>
  </si>
  <si>
    <t>Đo tốc độ bằng 2 phương pháp: đếm xung trong cửa sổ thời gian và đo chu kỳ; so sánh</t>
  </si>
  <si>
    <t>Giao diện: biến trở (ADC) đặt tốc độ, LCD hiển thị duty &amp; RPM</t>
  </si>
  <si>
    <t>Lệnh UART + gửi dữ liệu vẽ đồ thị RPM theo thời gian; đặc tuyến duty–RPM; báo cáo</t>
  </si>
  <si>
    <t>Đặc tuyến duty–RPM 10 điểm; đổi chiều an toàn (dừng trước khi đảo); dừng khẩn cấp hoạt động</t>
  </si>
  <si>
    <t>Điều khiển PI giữ tốc độ khi thêm tải</t>
  </si>
  <si>
    <t>Đo độ ẩm đất (ADC) và nhiệt độ-độ ẩm không khí; tự bật bơm khi đất khô; hẹn giờ tưới theo RTC; chế độ tưới tay; hiển thị LCD; ghi nhật ký qua UART.</t>
  </si>
  <si>
    <t>STM32, cảm biến độ ẩm đất, DHT11 hoặc AHT20, relay + bơm mini, LCD, nút nhấn</t>
  </si>
  <si>
    <t>ADC, RTC Alarm, GPIO điều khiển relay, I2C LCD, FSM</t>
  </si>
  <si>
    <t>Đo độ ẩm đất: hiệu chuẩn khô/ướt ra %, lọc, hysteresis bật/tắt bơm</t>
  </si>
  <si>
    <t>RTC + lịch tưới (2 khung giờ/ngày), giới hạn thời gian bơm tối đa (bảo vệ)</t>
  </si>
  <si>
    <t>LCD + nút: xem thông số, cài ngưỡng, bật bơm tay</t>
  </si>
  <si>
    <t>Cảm biến không khí (DHT11/AHT20); UART nhật ký sự kiện; mạch relay an toàn; tích hợp + báo cáo</t>
  </si>
  <si>
    <t>Đất khô → bơm bật, đủ ẩm → tắt; tưới đúng giờ hẹn; bơm không chạy quá T_max</t>
  </si>
  <si>
    <t>Cảm biến mực nước bồn, báo hết nước</t>
  </si>
  <si>
    <t>Trò chơi 2 người: LED sáng ở thời điểm ngẫu nhiên, ai bấm nhanh hơn thắng; đo thời gian phản xạ (ms) bằng Timer. Đồng thời làm thí nghiệm đo và so sánh độ trễ đáp ứng khi đọc nút bằng polling và bằng ngắt EXTI.</t>
  </si>
  <si>
    <t>STM32, 2 nút nhấn, LED, LED 7 đoạn 4 số, buzzer, oscilloscope/logic analyzer</t>
  </si>
  <si>
    <t>EXTI, polling, Timer, DWT cycle counter, sinh số ngẫu nhiên, đo độ trễ</t>
  </si>
  <si>
    <t>Logic trò chơi: FSM chờ – sẵn sàng – đo, thời điểm ngẫu nhiên, phạt bấm sớm</t>
  </si>
  <si>
    <t>LED 7 đoạn hiển thị thời gian/điểm; buzzer báo hiệu</t>
  </si>
  <si>
    <t>Thí nghiệm độ trễ: cùng một nút đọc bằng polling (có tải CPU giả lập) và EXTI, bật GPIO khi phát hiện, đo trễ bằng oscilloscope</t>
  </si>
  <si>
    <t>Đo bằng DWT/Timer, thống kê min/max/trung bình 50 lần; UART bảng điểm; báo cáo so sánh</t>
  </si>
  <si>
    <t>Trò chơi chạy đủ vòng; bảng độ trễ polling vs interrupt ở 3 mức tải CPU kèm ảnh oscilloscope</t>
  </si>
  <si>
    <t>Lưu kỷ lục vào Flash</t>
  </si>
  <si>
    <t>Hệ thống đo nhiệt độ có IWDG (và WWDG); mô phỏng các lỗi treo (vòng lặp vô hạn, chờ cảm biến mãi, HardFault) bằng nút; hệ thống tự reset, xác định nguyên nhân reset, đếm số lần reset, hiển thị LCD/UART.</t>
  </si>
  <si>
    <t>STM32, cảm biến nhiệt (nội hoặc DHT11), LCD, 4 nút gây lỗi, LED</t>
  </si>
  <si>
    <t>IWDG, WWDG, cờ reset RCC, backup register, HardFault handler</t>
  </si>
  <si>
    <t>Cấu hình IWDG, tính timeout; chiến lược nạp lại watchdog đúng chỗ (chỉ khi mọi tác vụ báo "khỏe")</t>
  </si>
  <si>
    <t>Mô phỏng lỗi bằng nút: treo vòng lặp, chờ cảm biến vô hạn, HardFault (truy cập địa chỉ sai)</t>
  </si>
  <si>
    <t>Đọc nguyên nhân reset (cờ RCC), bộ đếm reset trong backup register, hiển thị LCD</t>
  </si>
  <si>
    <t>Ứng dụng nền (đo nhiệt, LED heartbeat), UART log; thử WWDG để so sánh; báo cáo</t>
  </si>
  <si>
    <t>Mỗi lỗi mô phỏng → reset đúng thời gian timeout đã tính; LCD hiện đúng nguyên nhân (IWDG / nút Reset / Power-on / Software)</t>
  </si>
  <si>
    <t>Lưu log lỗi vào Flash; HardFault handler in giá trị PC/LR</t>
  </si>
  <si>
    <t>Nút đo nhiệt độ chạy pin: đo định kỳ rồi ngủ; đánh thức bằng RTC hoặc nút (EXTI). Đo và so sánh dòng tiêu thụ ở các chế độ Run/Sleep/Stop/Standby, ước lượng thời gian sống của pin.</t>
  </si>
  <si>
    <t>STM32, đồng hồ đo dòng µA hoặc INA219, cảm biến nhiệt, nút nhấn, LED</t>
  </si>
  <si>
    <t>Sleep/Stop/Standby, WFI, RTC wakeup, EXTI wakeup, khôi phục clock sau Stop</t>
  </si>
  <si>
    <t>Vào các chế độ Sleep/Stop/Standby; khôi phục clock HSE/PLL sau Stop</t>
  </si>
  <si>
    <t>Nguồn đánh thức: RTC wakeup định kỳ, EXTI nút; xử lý dữ liệu sau khi thức</t>
  </si>
  <si>
    <t>Đo dòng: bố trí mạch đo; bảng dòng Run (nhiều tần số clock), Sleep, Stop, Standby; tắt ngoại vi không dùng</t>
  </si>
  <si>
    <t>Ứng dụng: đo nhiệt → gửi UART → ngủ; tính tuổi thọ pin 2000 mAh theo duty cycle; báo cáo</t>
  </si>
  <si>
    <t>Bảng dòng 4 chế độ có ảnh đồng hồ đo; node thức đúng chu kỳ và khi nhấn nút; tính toán tuổi thọ pin</t>
  </si>
  <si>
    <t>Hạ tần số clock khi Run để giảm dòng</t>
  </si>
  <si>
    <t>Xây dựng hệ menu nhiều cấp trên OLED SSD1306 (được dùng thư viện có sẵn), điều hướng bằng encoder xoay (Timer Encoder mode) + nút; menu điều khiển LED RGB, xem cảm biến, cài đặt và lưu cài đặt.</t>
  </si>
  <si>
    <t>STM32, OLED SSD1306 (I2C/SPI), encoder KY-040, LED RGB, biến trở/cảm biến</t>
  </si>
  <si>
    <t>Timer Encoder mode, I2C/SPI, cấu trúc dữ liệu cây menu, PWM 3 kênh, Flash</t>
  </si>
  <si>
    <t>Đọc encoder bằng Timer Encoder mode + nút (nhấn ngắn/giữ), lọc nhiễu</t>
  </si>
  <si>
    <t>Cấu trúc dữ liệu menu (cây, con trỏ hàm), điều hướng vào/ra, cuộn danh sách</t>
  </si>
  <si>
    <t>Hiển thị OLED: vẽ menu, thanh cuộn, mục được chọn, màn hình chỉnh giá trị dạng thanh</t>
  </si>
  <si>
    <t>Chức năng: chỉnh màu LED RGB (PWM 3 kênh), xem ADC; lưu cài đặt vào Flash; báo cáo</t>
  </si>
  <si>
    <t>Menu ≥ 3 cấp, ≥ 10 mục; xoay không nhảy bước; cài đặt giữ nguyên sau reset</t>
  </si>
  <si>
    <t>Hiệu ứng chuyển trang; trang đồ thị ADC</t>
  </si>
  <si>
    <t>Đọc gia tốc MPU6050 qua HAL_I2C, tính góc Roll/Pitch bằng atan2, hiển thị góc trên LED 7 đoạn (hoặc OLED); báo khi mặt phẳng cân bằng (±0,5°) bằng LED/buzzer; hiệu chuẩn điểm 0.</t>
  </si>
  <si>
    <t>STM32, MPU6050 (GY-521), LED 7 đoạn 4 số (TM1637) hoặc OLED, buzzer, nút nhấn</t>
  </si>
  <si>
    <t>HAL I2C đọc thanh ghi cảm biến, lượng giác, lọc thông thấp, Flash</t>
  </si>
  <si>
    <t>Đọc MPU6050 bằng HAL_I2C_Mem_Read: khởi tạo, kiểm tra WHO_AM_I, đọc burst gia tốc</t>
  </si>
  <si>
    <t>Tính góc bằng atan2, lọc thông thấp, hiệu chuẩn offset (lưu Flash)</t>
  </si>
  <si>
    <t>Hiển thị góc có dấu, 1 chữ số thập phân trên LED 7 đoạn; chuyển Roll/Pitch bằng nút</t>
  </si>
  <si>
    <t>LED/buzzer báo cân bằng; UART xuất dữ liệu vẽ đồ thị; đánh giá sai số với thước đo góc; báo cáo</t>
  </si>
  <si>
    <t>Sai số &lt; 1° tại 0°, 30°, 45°, 90°; hiệu chuẩn 0 hoạt động; số hiển thị ổn định</t>
  </si>
  <si>
    <t>Kết hợp con quay (gyro) để giảm nhiễu khi rung</t>
  </si>
  <si>
    <t>Tạo nốt nhạc bằng loa/buzzer với PWM thay đổi tần số; 8 nút hoặc keypad làm phím đàn; phát bài hát lưu sẵn; ghi và phát lại chuỗi nốt người chơi; LCD hiển thị nốt, nhịp.</t>
  </si>
  <si>
    <t>STM32, loa + transistor hoặc buzzer thụ động, keypad 4x4 / 8 nút, LCD, biến trở</t>
  </si>
  <si>
    <t>PWM đổi tần số (ARR), Timer tạo nhịp, quét phím, ADC, cấu trúc dữ liệu bài hát</t>
  </si>
  <si>
    <t>Sinh nốt: bảng tần số C4–C6, cập nhật ARR/CCR không méo tiếng, âm lượng qua duty</t>
  </si>
  <si>
    <t>Đọc phím (keypad/nút) chống dội, xử lý nhiều phím nhấn cùng lúc</t>
  </si>
  <si>
    <t>Trình phát bài hát: mảng (nốt, trường độ), tempo bằng Timer (biến trở chỉnh), 3 bài</t>
  </si>
  <si>
    <t>Ghi/phát lại chuỗi người chơi (lưu thời điểm nhấn), LCD hiển thị; tích hợp + báo cáo</t>
  </si>
  <si>
    <t>Thang âm đúng cao độ (kiểm bằng app tuner); phát 3 bài; ghi 20 nốt và phát lại đúng nhịp</t>
  </si>
  <si>
    <t>Phát sóng sin bằng bảng tra + PWM/DAC thay cho sóng vuông</t>
  </si>
  <si>
    <t>KẾ HOẠCH THỰC HIỆN 4 TUẦN</t>
  </si>
  <si>
    <t>Tuần</t>
  </si>
  <si>
    <t>Mục tiêu</t>
  </si>
  <si>
    <t>Công việc của cả nhóm</t>
  </si>
  <si>
    <t>Công việc của từng SV</t>
  </si>
  <si>
    <t>Sản phẩm phải nộp / kiểm tra</t>
  </si>
  <si>
    <t>1</t>
  </si>
  <si>
    <t>Phân tích – thiết kế – chạy thử ngoại vi</t>
  </si>
  <si>
    <t>Đọc đề, phân công; sơ đồ khối; chọn linh kiện; sơ đồ chân (pinout) trong CubeMX; thống nhất file .h giao tiếp giữa các module; tạo repo Git</t>
  </si>
  <si>
    <t>Mỗi SV chạy được ngoại vi mình phụ trách ở project thử riêng (VD: LED 7 đoạn quét được, UART echo được, đọc được cảm biến)</t>
  </si>
  <si>
    <t>Bản đặc tả 2–3 trang: sơ đồ khối, pinout, API các module, phân công; ảnh/clip ngoại vi chạy thử</t>
  </si>
  <si>
    <t>2</t>
  </si>
  <si>
    <t>Hoàn thiện module riêng</t>
  </si>
  <si>
    <t>Họp nhanh 2 lần/tuần; review code chéo giữa các thành viên</t>
  </si>
  <si>
    <t>Hoàn thiện module theo API đã chốt; viết chương trình test riêng cho module; đo đạc (oscilloscope/logic analyzer) nếu có</t>
  </si>
  <si>
    <t>Mỗi module có code + test chạy độc lập; commit trên Git</t>
  </si>
  <si>
    <t>3</t>
  </si>
  <si>
    <t>Tích hợp – kiểm thử hệ thống</t>
  </si>
  <si>
    <t>SV4 chủ trì ghép module vào project chính; xử lý xung đột tài nguyên (Timer, DMA, ngắt, chân); kiểm thử theo tiêu chí demo</t>
  </si>
  <si>
    <t>Mỗi SV sửa lỗi module khi tích hợp; chuẩn bị số liệu đo đạc/ thí nghiệm cho phần của mình</t>
  </si>
  <si>
    <t>Hệ thống chạy đủ chức năng chính; bảng kết quả kiểm thử theo cột "Yêu cầu demo"</t>
  </si>
  <si>
    <t>4</t>
  </si>
  <si>
    <t>Hoàn thiện – báo cáo – bảo vệ</t>
  </si>
  <si>
    <t>Làm phần mở rộng (nếu có); quay video demo; viết báo cáo; chuẩn bị slide</t>
  </si>
  <si>
    <t>Mỗi SV viết chương báo cáo về module của mình và sẵn sàng trả lời vấn đáp về code của mình</t>
  </si>
  <si>
    <t>Báo cáo, mã nguồn, video 3–5 phút, slide; bảo vệ trực tiếp trên board</t>
  </si>
  <si>
    <t>TIÊU CHÍ ĐÁNH GIÁ (thang 10, nhân với hệ số trần của mức đề)</t>
  </si>
  <si>
    <t>Phần</t>
  </si>
  <si>
    <t>Tiêu chí</t>
  </si>
  <si>
    <t>Trọng số</t>
  </si>
  <si>
    <t>Ghi chú</t>
  </si>
  <si>
    <t>Nhóm</t>
  </si>
  <si>
    <t>Hệ thống đạt các tiêu chí trong cột "Yêu cầu demo"</t>
  </si>
  <si>
    <t>Kiểm tra trực tiếp trên board khi bảo vệ</t>
  </si>
  <si>
    <t>Thiết kế &amp; chất lượng mã (module hóa, không HAL_Delay tràn lan, dùng ngắt/FSM hợp lý, chú thích)</t>
  </si>
  <si>
    <t>Xem repo Git</t>
  </si>
  <si>
    <t>Báo cáo (sơ đồ khối, nguyên lý, lưu đồ/FSM, số liệu đo, phân tích)</t>
  </si>
  <si>
    <t>Trình bày, video demo</t>
  </si>
  <si>
    <t>Cá nhân</t>
  </si>
  <si>
    <t>Module do SV phụ trách: chạy đúng, có test, có số liệu</t>
  </si>
  <si>
    <t>Đối chiếu bảng phân công + lịch sử commit</t>
  </si>
  <si>
    <t>Vấn đáp: giải thích code, cấu hình ngoại vi, sửa nhỏ tại chỗ</t>
  </si>
  <si>
    <t>Mỗi SV hỏi riêng 3–5 phút</t>
  </si>
  <si>
    <t>Chuyên cần: báo cáo tiến độ hằng tuần, đóng góp Git</t>
  </si>
  <si>
    <t>Tổng trọng số (phải = 100%)</t>
  </si>
  <si>
    <t>Điểm cá nhân = (điểm theo thang 10 × Σ trọng số) × Điểm tối đa của mức đề / 10. Cột Trọng số và cột Điểm tối đa (sheet Tổng quan) giảng viên có thể chỉnh.</t>
  </si>
  <si>
    <t>PHIẾU ĐĂNG KÝ ĐỀ TÀI THEO NHÓM</t>
  </si>
  <si>
    <t>Hướng dẫn: nhập vào các cột trừ Tên đề tài và Mức độ; chọn Mã đề từ danh sách, Tên đề &amp; Mức độ tự điền. Dòng 4 là ví dụ – xóa khi dùng.</t>
  </si>
  <si>
    <t>Lớp</t>
  </si>
  <si>
    <t>SV1 (MSSV – Họ tên)</t>
  </si>
  <si>
    <t>SV2 (MSSV – Họ tên)</t>
  </si>
  <si>
    <t>SV3 (MSSV – Họ tên)</t>
  </si>
  <si>
    <t>SV4 (MSSV – Họ tên)</t>
  </si>
  <si>
    <t>Trưởng nhóm</t>
  </si>
  <si>
    <t>Link Git</t>
  </si>
  <si>
    <t>N01</t>
  </si>
  <si>
    <t>CT7A</t>
  </si>
  <si>
    <t>CT070101 – Nguyễn Văn A</t>
  </si>
  <si>
    <t>CT070102 – Trần Thị B</t>
  </si>
  <si>
    <t>CT070103 – Lê Văn C</t>
  </si>
  <si>
    <t>CT070104 – Phạm Thị D</t>
  </si>
  <si>
    <t>SV4</t>
  </si>
  <si>
    <t>github.com/…</t>
  </si>
  <si>
    <t>Ví dụ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</si>
</sst>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</font>
    <font>
      <i/>
      <sz val="14"/>
      <color rgb="FF000000"/>
      <name val="Times New Roman"/>
    </font>
    <font>
      <sz val="14"/>
      <color rgb="FF000000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top" wrapText="1"/>
    </xf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F52"/>
  <sheetViews>
    <sheetView showGridLines="0" workbookViewId="0"/>
  </sheetViews>
  <sheetFormatPr defaultRowHeight="15" x14ac:dyDescent="0.25"/>
  <cols>
    <col min="1" max="1" width="4" customWidth="1"/>
    <col min="2" max="2" width="14" customWidth="1"/>
    <col min="3" max="3" width="13" customWidth="1"/>
    <col min="4" max="4" width="12" customWidth="1"/>
    <col min="5" max="5" width="20" customWidth="1"/>
    <col min="6" max="6" width="80" customWidth="1"/>
    <col min="7" max="7" width="4" customWidth="1"/>
  </cols>
  <sheetData>
    <row r="1" spans="2:6" ht="18.75" x14ac:dyDescent="0.3">
      <c r="B1" s="15" t="s">
        <v>0</v>
      </c>
      <c r="C1" s="14"/>
      <c r="D1" s="14"/>
      <c r="E1" s="14"/>
      <c r="F1" s="14"/>
    </row>
    <row r="2" spans="2:6" ht="18.75" x14ac:dyDescent="0.3">
      <c r="B2" s="16" t="s">
        <v>1</v>
      </c>
      <c r="C2" s="14"/>
      <c r="D2" s="14"/>
      <c r="E2" s="14"/>
      <c r="F2" s="14"/>
    </row>
    <row r="4" spans="2:6" ht="37.5" x14ac:dyDescent="0.25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spans="2:6" ht="80.099999999999994" customHeight="1" x14ac:dyDescent="0.25">
      <c r="B5" s="2" t="s">
        <v>7</v>
      </c>
      <c r="C5" s="3">
        <f>COUNTA('Đề tài Dễ'!B3:B200)</f>
        <v>18</v>
      </c>
      <c r="D5" s="4">
        <f>IF($C$8=0,0,C5/$C$8)</f>
        <v>0.6</v>
      </c>
      <c r="E5" s="5">
        <v>8</v>
      </c>
      <c r="F5" s="6" t="s">
        <v>8</v>
      </c>
    </row>
    <row r="6" spans="2:6" ht="80.099999999999994" customHeight="1" x14ac:dyDescent="0.25">
      <c r="B6" s="2" t="s">
        <v>9</v>
      </c>
      <c r="C6" s="3">
        <f>COUNTA('Đề tài Vừa'!B3:B200)</f>
        <v>9</v>
      </c>
      <c r="D6" s="4">
        <f>IF($C$8=0,0,C6/$C$8)</f>
        <v>0.3</v>
      </c>
      <c r="E6" s="5">
        <v>9</v>
      </c>
      <c r="F6" s="6" t="s">
        <v>10</v>
      </c>
    </row>
    <row r="7" spans="2:6" ht="80.099999999999994" customHeight="1" x14ac:dyDescent="0.25">
      <c r="B7" s="2" t="s">
        <v>11</v>
      </c>
      <c r="C7" s="3">
        <f>COUNTA('Đề tài Khó'!B3:B200)</f>
        <v>3</v>
      </c>
      <c r="D7" s="4">
        <f>IF($C$8=0,0,C7/$C$8)</f>
        <v>0.1</v>
      </c>
      <c r="E7" s="5">
        <v>10</v>
      </c>
      <c r="F7" s="6" t="s">
        <v>12</v>
      </c>
    </row>
    <row r="8" spans="2:6" ht="18.75" x14ac:dyDescent="0.25">
      <c r="B8" s="2" t="s">
        <v>13</v>
      </c>
      <c r="C8" s="2">
        <f>SUM(C5:C7)</f>
        <v>30</v>
      </c>
      <c r="D8" s="7">
        <f>SUM(D5:D7)</f>
        <v>0.99999999999999989</v>
      </c>
      <c r="E8" s="2"/>
      <c r="F8" s="8" t="s">
        <v>14</v>
      </c>
    </row>
    <row r="11" spans="2:6" ht="20.100000000000001" customHeight="1" x14ac:dyDescent="0.25">
      <c r="B11" s="17" t="s">
        <v>15</v>
      </c>
      <c r="C11" s="14"/>
      <c r="D11" s="14"/>
      <c r="E11" s="14"/>
      <c r="F11" s="14"/>
    </row>
    <row r="12" spans="2:6" ht="20.100000000000001" customHeight="1" x14ac:dyDescent="0.25">
      <c r="B12" s="13" t="s">
        <v>16</v>
      </c>
      <c r="C12" s="14"/>
      <c r="D12" s="14"/>
      <c r="E12" s="14"/>
      <c r="F12" s="14"/>
    </row>
    <row r="13" spans="2:6" ht="39.950000000000003" customHeight="1" x14ac:dyDescent="0.25">
      <c r="B13" s="13" t="s">
        <v>17</v>
      </c>
      <c r="C13" s="14"/>
      <c r="D13" s="14"/>
      <c r="E13" s="14"/>
      <c r="F13" s="14"/>
    </row>
    <row r="14" spans="2:6" ht="39.950000000000003" customHeight="1" x14ac:dyDescent="0.25">
      <c r="B14" s="13" t="s">
        <v>18</v>
      </c>
      <c r="C14" s="14"/>
      <c r="D14" s="14"/>
      <c r="E14" s="14"/>
      <c r="F14" s="14"/>
    </row>
    <row r="15" spans="2:6" ht="39.950000000000003" customHeight="1" x14ac:dyDescent="0.25">
      <c r="B15" s="13" t="s">
        <v>19</v>
      </c>
      <c r="C15" s="14"/>
      <c r="D15" s="14"/>
      <c r="E15" s="14"/>
      <c r="F15" s="14"/>
    </row>
    <row r="16" spans="2:6" ht="20.100000000000001" customHeight="1" x14ac:dyDescent="0.25">
      <c r="B16" s="13" t="s">
        <v>20</v>
      </c>
      <c r="C16" s="14"/>
      <c r="D16" s="14"/>
      <c r="E16" s="14"/>
      <c r="F16" s="14"/>
    </row>
    <row r="17" spans="2:6" ht="39.950000000000003" customHeight="1" x14ac:dyDescent="0.25">
      <c r="B17" s="13" t="s">
        <v>21</v>
      </c>
      <c r="C17" s="14"/>
      <c r="D17" s="14"/>
      <c r="E17" s="14"/>
      <c r="F17" s="14"/>
    </row>
    <row r="18" spans="2:6" ht="39.950000000000003" customHeight="1" x14ac:dyDescent="0.25">
      <c r="B18" s="13" t="s">
        <v>22</v>
      </c>
      <c r="C18" s="14"/>
      <c r="D18" s="14"/>
      <c r="E18" s="14"/>
      <c r="F18" s="14"/>
    </row>
    <row r="19" spans="2:6" ht="20.100000000000001" customHeight="1" x14ac:dyDescent="0.25">
      <c r="B19" s="13" t="s">
        <v>23</v>
      </c>
      <c r="C19" s="14"/>
      <c r="D19" s="14"/>
      <c r="E19" s="14"/>
      <c r="F19" s="14"/>
    </row>
    <row r="21" spans="2:6" ht="18.75" x14ac:dyDescent="0.3">
      <c r="B21" s="15" t="s">
        <v>24</v>
      </c>
      <c r="C21" s="14"/>
      <c r="D21" s="14"/>
      <c r="E21" s="14"/>
      <c r="F21" s="14"/>
    </row>
    <row r="22" spans="2:6" ht="18.75" x14ac:dyDescent="0.25">
      <c r="B22" s="2" t="s">
        <v>25</v>
      </c>
      <c r="C22" s="2" t="s">
        <v>2</v>
      </c>
      <c r="D22" s="18" t="s">
        <v>26</v>
      </c>
      <c r="E22" s="19"/>
      <c r="F22" s="20"/>
    </row>
    <row r="23" spans="2:6" ht="18.75" x14ac:dyDescent="0.25">
      <c r="B23" s="3" t="s">
        <v>27</v>
      </c>
      <c r="C23" s="2" t="s">
        <v>11</v>
      </c>
      <c r="D23" s="12" t="s">
        <v>28</v>
      </c>
      <c r="E23" s="12"/>
      <c r="F23" s="12"/>
    </row>
    <row r="24" spans="2:6" ht="18.75" x14ac:dyDescent="0.25">
      <c r="B24" s="3" t="s">
        <v>29</v>
      </c>
      <c r="C24" s="2" t="s">
        <v>11</v>
      </c>
      <c r="D24" s="12" t="s">
        <v>30</v>
      </c>
      <c r="E24" s="12"/>
      <c r="F24" s="12"/>
    </row>
    <row r="25" spans="2:6" ht="18.75" x14ac:dyDescent="0.25">
      <c r="B25" s="3" t="s">
        <v>31</v>
      </c>
      <c r="C25" s="2" t="s">
        <v>11</v>
      </c>
      <c r="D25" s="12" t="s">
        <v>32</v>
      </c>
      <c r="E25" s="12"/>
      <c r="F25" s="12"/>
    </row>
    <row r="26" spans="2:6" ht="18.75" x14ac:dyDescent="0.25">
      <c r="B26" s="3" t="s">
        <v>33</v>
      </c>
      <c r="C26" s="2" t="s">
        <v>9</v>
      </c>
      <c r="D26" s="12" t="s">
        <v>34</v>
      </c>
      <c r="E26" s="12"/>
      <c r="F26" s="12"/>
    </row>
    <row r="27" spans="2:6" ht="18.75" x14ac:dyDescent="0.25">
      <c r="B27" s="3" t="s">
        <v>35</v>
      </c>
      <c r="C27" s="2" t="s">
        <v>9</v>
      </c>
      <c r="D27" s="12" t="s">
        <v>36</v>
      </c>
      <c r="E27" s="12"/>
      <c r="F27" s="12"/>
    </row>
    <row r="28" spans="2:6" ht="18.75" x14ac:dyDescent="0.25">
      <c r="B28" s="3" t="s">
        <v>37</v>
      </c>
      <c r="C28" s="2" t="s">
        <v>9</v>
      </c>
      <c r="D28" s="12" t="s">
        <v>38</v>
      </c>
      <c r="E28" s="12"/>
      <c r="F28" s="12"/>
    </row>
    <row r="29" spans="2:6" ht="18.75" x14ac:dyDescent="0.25">
      <c r="B29" s="3" t="s">
        <v>39</v>
      </c>
      <c r="C29" s="2" t="s">
        <v>9</v>
      </c>
      <c r="D29" s="12" t="s">
        <v>40</v>
      </c>
      <c r="E29" s="12"/>
      <c r="F29" s="12"/>
    </row>
    <row r="30" spans="2:6" ht="18.75" x14ac:dyDescent="0.25">
      <c r="B30" s="3" t="s">
        <v>41</v>
      </c>
      <c r="C30" s="2" t="s">
        <v>9</v>
      </c>
      <c r="D30" s="12" t="s">
        <v>42</v>
      </c>
      <c r="E30" s="12"/>
      <c r="F30" s="12"/>
    </row>
    <row r="31" spans="2:6" ht="18.75" x14ac:dyDescent="0.25">
      <c r="B31" s="3" t="s">
        <v>43</v>
      </c>
      <c r="C31" s="2" t="s">
        <v>9</v>
      </c>
      <c r="D31" s="12" t="s">
        <v>44</v>
      </c>
      <c r="E31" s="12"/>
      <c r="F31" s="12"/>
    </row>
    <row r="32" spans="2:6" ht="18.75" x14ac:dyDescent="0.25">
      <c r="B32" s="3" t="s">
        <v>45</v>
      </c>
      <c r="C32" s="2" t="s">
        <v>9</v>
      </c>
      <c r="D32" s="12" t="s">
        <v>46</v>
      </c>
      <c r="E32" s="12"/>
      <c r="F32" s="12"/>
    </row>
    <row r="33" spans="2:6" ht="18.75" x14ac:dyDescent="0.25">
      <c r="B33" s="3" t="s">
        <v>47</v>
      </c>
      <c r="C33" s="2" t="s">
        <v>9</v>
      </c>
      <c r="D33" s="12" t="s">
        <v>48</v>
      </c>
      <c r="E33" s="12"/>
      <c r="F33" s="12"/>
    </row>
    <row r="34" spans="2:6" ht="18.75" x14ac:dyDescent="0.25">
      <c r="B34" s="3" t="s">
        <v>49</v>
      </c>
      <c r="C34" s="2" t="s">
        <v>9</v>
      </c>
      <c r="D34" s="12" t="s">
        <v>50</v>
      </c>
      <c r="E34" s="12"/>
      <c r="F34" s="12"/>
    </row>
    <row r="35" spans="2:6" ht="18.75" x14ac:dyDescent="0.25">
      <c r="B35" s="3" t="s">
        <v>51</v>
      </c>
      <c r="C35" s="2" t="s">
        <v>7</v>
      </c>
      <c r="D35" s="12" t="s">
        <v>52</v>
      </c>
      <c r="E35" s="12"/>
      <c r="F35" s="12"/>
    </row>
    <row r="36" spans="2:6" ht="18.75" x14ac:dyDescent="0.25">
      <c r="B36" s="3" t="s">
        <v>53</v>
      </c>
      <c r="C36" s="2" t="s">
        <v>7</v>
      </c>
      <c r="D36" s="12" t="s">
        <v>54</v>
      </c>
      <c r="E36" s="12"/>
      <c r="F36" s="12"/>
    </row>
    <row r="37" spans="2:6" ht="18.75" x14ac:dyDescent="0.25">
      <c r="B37" s="3" t="s">
        <v>55</v>
      </c>
      <c r="C37" s="2" t="s">
        <v>7</v>
      </c>
      <c r="D37" s="12" t="s">
        <v>56</v>
      </c>
      <c r="E37" s="12"/>
      <c r="F37" s="12"/>
    </row>
    <row r="38" spans="2:6" ht="18.75" x14ac:dyDescent="0.25">
      <c r="B38" s="3" t="s">
        <v>57</v>
      </c>
      <c r="C38" s="2" t="s">
        <v>7</v>
      </c>
      <c r="D38" s="12" t="s">
        <v>58</v>
      </c>
      <c r="E38" s="12"/>
      <c r="F38" s="12"/>
    </row>
    <row r="39" spans="2:6" ht="18.75" x14ac:dyDescent="0.25">
      <c r="B39" s="3" t="s">
        <v>59</v>
      </c>
      <c r="C39" s="2" t="s">
        <v>7</v>
      </c>
      <c r="D39" s="12" t="s">
        <v>60</v>
      </c>
      <c r="E39" s="12"/>
      <c r="F39" s="12"/>
    </row>
    <row r="40" spans="2:6" ht="18.75" x14ac:dyDescent="0.25">
      <c r="B40" s="3" t="s">
        <v>61</v>
      </c>
      <c r="C40" s="2" t="s">
        <v>7</v>
      </c>
      <c r="D40" s="12" t="s">
        <v>62</v>
      </c>
      <c r="E40" s="12"/>
      <c r="F40" s="12"/>
    </row>
    <row r="41" spans="2:6" ht="18.75" x14ac:dyDescent="0.25">
      <c r="B41" s="3" t="s">
        <v>63</v>
      </c>
      <c r="C41" s="2" t="s">
        <v>7</v>
      </c>
      <c r="D41" s="12" t="s">
        <v>64</v>
      </c>
      <c r="E41" s="12"/>
      <c r="F41" s="12"/>
    </row>
    <row r="42" spans="2:6" ht="18.75" x14ac:dyDescent="0.25">
      <c r="B42" s="3" t="s">
        <v>65</v>
      </c>
      <c r="C42" s="2" t="s">
        <v>7</v>
      </c>
      <c r="D42" s="12" t="s">
        <v>66</v>
      </c>
      <c r="E42" s="12"/>
      <c r="F42" s="12"/>
    </row>
    <row r="43" spans="2:6" ht="18.75" x14ac:dyDescent="0.25">
      <c r="B43" s="3" t="s">
        <v>67</v>
      </c>
      <c r="C43" s="2" t="s">
        <v>7</v>
      </c>
      <c r="D43" s="12" t="s">
        <v>68</v>
      </c>
      <c r="E43" s="12"/>
      <c r="F43" s="12"/>
    </row>
    <row r="44" spans="2:6" ht="18.75" x14ac:dyDescent="0.25">
      <c r="B44" s="3" t="s">
        <v>69</v>
      </c>
      <c r="C44" s="2" t="s">
        <v>7</v>
      </c>
      <c r="D44" s="12" t="s">
        <v>70</v>
      </c>
      <c r="E44" s="12"/>
      <c r="F44" s="12"/>
    </row>
    <row r="45" spans="2:6" ht="18.75" x14ac:dyDescent="0.25">
      <c r="B45" s="3" t="s">
        <v>71</v>
      </c>
      <c r="C45" s="2" t="s">
        <v>7</v>
      </c>
      <c r="D45" s="12" t="s">
        <v>72</v>
      </c>
      <c r="E45" s="12"/>
      <c r="F45" s="12"/>
    </row>
    <row r="46" spans="2:6" ht="18.75" x14ac:dyDescent="0.25">
      <c r="B46" s="3" t="s">
        <v>73</v>
      </c>
      <c r="C46" s="2" t="s">
        <v>7</v>
      </c>
      <c r="D46" s="12" t="s">
        <v>74</v>
      </c>
      <c r="E46" s="12"/>
      <c r="F46" s="12"/>
    </row>
    <row r="47" spans="2:6" ht="18.75" x14ac:dyDescent="0.25">
      <c r="B47" s="3" t="s">
        <v>75</v>
      </c>
      <c r="C47" s="2" t="s">
        <v>7</v>
      </c>
      <c r="D47" s="12" t="s">
        <v>76</v>
      </c>
      <c r="E47" s="12"/>
      <c r="F47" s="12"/>
    </row>
    <row r="48" spans="2:6" ht="18.75" x14ac:dyDescent="0.25">
      <c r="B48" s="3" t="s">
        <v>77</v>
      </c>
      <c r="C48" s="2" t="s">
        <v>7</v>
      </c>
      <c r="D48" s="12" t="s">
        <v>78</v>
      </c>
      <c r="E48" s="12"/>
      <c r="F48" s="12"/>
    </row>
    <row r="49" spans="2:6" ht="18.75" x14ac:dyDescent="0.25">
      <c r="B49" s="3" t="s">
        <v>79</v>
      </c>
      <c r="C49" s="2" t="s">
        <v>7</v>
      </c>
      <c r="D49" s="12" t="s">
        <v>80</v>
      </c>
      <c r="E49" s="12"/>
      <c r="F49" s="12"/>
    </row>
    <row r="50" spans="2:6" ht="18.75" x14ac:dyDescent="0.25">
      <c r="B50" s="3" t="s">
        <v>81</v>
      </c>
      <c r="C50" s="2" t="s">
        <v>7</v>
      </c>
      <c r="D50" s="12" t="s">
        <v>82</v>
      </c>
      <c r="E50" s="12"/>
      <c r="F50" s="12"/>
    </row>
    <row r="51" spans="2:6" ht="18.75" x14ac:dyDescent="0.25">
      <c r="B51" s="3" t="s">
        <v>83</v>
      </c>
      <c r="C51" s="2" t="s">
        <v>7</v>
      </c>
      <c r="D51" s="12" t="s">
        <v>84</v>
      </c>
      <c r="E51" s="12"/>
      <c r="F51" s="12"/>
    </row>
    <row r="52" spans="2:6" ht="18.75" x14ac:dyDescent="0.25">
      <c r="B52" s="3" t="s">
        <v>85</v>
      </c>
      <c r="C52" s="2" t="s">
        <v>7</v>
      </c>
      <c r="D52" s="12" t="s">
        <v>86</v>
      </c>
      <c r="E52" s="12"/>
      <c r="F52" s="12"/>
    </row>
  </sheetData>
  <mergeCells count="43">
    <mergeCell ref="D52:F52"/>
    <mergeCell ref="D49:F49"/>
    <mergeCell ref="D51:F51"/>
    <mergeCell ref="D38:F38"/>
    <mergeCell ref="D29:F29"/>
    <mergeCell ref="D23:F23"/>
    <mergeCell ref="B19:F19"/>
    <mergeCell ref="D35:F35"/>
    <mergeCell ref="D50:F50"/>
    <mergeCell ref="D26:F26"/>
    <mergeCell ref="D44:F44"/>
    <mergeCell ref="D34:F34"/>
    <mergeCell ref="D31:F31"/>
    <mergeCell ref="D46:F46"/>
    <mergeCell ref="D22:F22"/>
    <mergeCell ref="D40:F40"/>
    <mergeCell ref="D36:F36"/>
    <mergeCell ref="D45:F45"/>
    <mergeCell ref="B1:F1"/>
    <mergeCell ref="B14:F14"/>
    <mergeCell ref="D30:F30"/>
    <mergeCell ref="D25:F25"/>
    <mergeCell ref="D39:F39"/>
    <mergeCell ref="B17:F17"/>
    <mergeCell ref="D33:F33"/>
    <mergeCell ref="B13:F13"/>
    <mergeCell ref="D24:F24"/>
    <mergeCell ref="B15:F15"/>
    <mergeCell ref="B12:F12"/>
    <mergeCell ref="D28:F28"/>
    <mergeCell ref="B2:F2"/>
    <mergeCell ref="D37:F37"/>
    <mergeCell ref="B11:F11"/>
    <mergeCell ref="D27:F27"/>
    <mergeCell ref="B16:F16"/>
    <mergeCell ref="D41:F41"/>
    <mergeCell ref="D32:F32"/>
    <mergeCell ref="D48:F48"/>
    <mergeCell ref="D47:F47"/>
    <mergeCell ref="B18:F18"/>
    <mergeCell ref="D43:F43"/>
    <mergeCell ref="B21:F21"/>
    <mergeCell ref="D42:F42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"/>
  <sheetViews>
    <sheetView tabSelected="1" zoomScale="90" workbookViewId="0">
      <pane xSplit="4" ySplit="2" topLeftCell="I3" activePane="bottomRight" state="frozen"/>
      <selection pane="topRight"/>
      <selection pane="bottomLeft"/>
      <selection pane="bottomRight" activeCell="A3" sqref="A3:M3"/>
    </sheetView>
  </sheetViews>
  <sheetFormatPr defaultRowHeight="15" x14ac:dyDescent="0.25"/>
  <cols>
    <col min="1" max="1" width="6" customWidth="1"/>
    <col min="2" max="2" width="9" customWidth="1"/>
    <col min="3" max="3" width="10" customWidth="1"/>
    <col min="4" max="4" width="30" customWidth="1"/>
    <col min="5" max="5" width="55" customWidth="1"/>
    <col min="6" max="6" width="36" customWidth="1"/>
    <col min="7" max="7" width="34" customWidth="1"/>
    <col min="8" max="11" width="40" customWidth="1"/>
    <col min="12" max="12" width="50" customWidth="1"/>
    <col min="13" max="13" width="32" customWidth="1"/>
  </cols>
  <sheetData>
    <row r="1" spans="1:13" ht="24" customHeight="1" x14ac:dyDescent="0.25">
      <c r="A1" s="21" t="s">
        <v>87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39.950000000000003" customHeight="1" x14ac:dyDescent="0.25">
      <c r="A2" s="2" t="s">
        <v>88</v>
      </c>
      <c r="B2" s="2" t="s">
        <v>25</v>
      </c>
      <c r="C2" s="2" t="s">
        <v>2</v>
      </c>
      <c r="D2" s="2" t="s">
        <v>26</v>
      </c>
      <c r="E2" s="2" t="s">
        <v>89</v>
      </c>
      <c r="F2" s="2" t="s">
        <v>90</v>
      </c>
      <c r="G2" s="2" t="s">
        <v>91</v>
      </c>
      <c r="H2" s="2" t="s">
        <v>92</v>
      </c>
      <c r="I2" s="2" t="s">
        <v>93</v>
      </c>
      <c r="J2" s="2" t="s">
        <v>94</v>
      </c>
      <c r="K2" s="2" t="s">
        <v>95</v>
      </c>
      <c r="L2" s="2" t="s">
        <v>96</v>
      </c>
      <c r="M2" s="2" t="s">
        <v>97</v>
      </c>
    </row>
    <row r="3" spans="1:13" ht="117.95" customHeight="1" x14ac:dyDescent="0.25">
      <c r="A3" s="3">
        <v>1</v>
      </c>
      <c r="B3" s="2" t="s">
        <v>27</v>
      </c>
      <c r="C3" s="2" t="s">
        <v>11</v>
      </c>
      <c r="D3" s="8" t="s">
        <v>28</v>
      </c>
      <c r="E3" s="6" t="s">
        <v>98</v>
      </c>
      <c r="F3" s="6" t="s">
        <v>99</v>
      </c>
      <c r="G3" s="6" t="s">
        <v>100</v>
      </c>
      <c r="H3" s="6" t="s">
        <v>101</v>
      </c>
      <c r="I3" s="6" t="s">
        <v>102</v>
      </c>
      <c r="J3" s="6" t="s">
        <v>103</v>
      </c>
      <c r="K3" s="6" t="s">
        <v>104</v>
      </c>
      <c r="L3" s="6" t="s">
        <v>105</v>
      </c>
      <c r="M3" s="6" t="s">
        <v>106</v>
      </c>
    </row>
    <row r="4" spans="1:13" ht="156" customHeight="1" x14ac:dyDescent="0.25">
      <c r="A4" s="3">
        <v>2</v>
      </c>
      <c r="B4" s="2" t="s">
        <v>29</v>
      </c>
      <c r="C4" s="2" t="s">
        <v>11</v>
      </c>
      <c r="D4" s="8" t="s">
        <v>30</v>
      </c>
      <c r="E4" s="6" t="s">
        <v>107</v>
      </c>
      <c r="F4" s="6" t="s">
        <v>108</v>
      </c>
      <c r="G4" s="6" t="s">
        <v>109</v>
      </c>
      <c r="H4" s="6" t="s">
        <v>110</v>
      </c>
      <c r="I4" s="6" t="s">
        <v>111</v>
      </c>
      <c r="J4" s="6" t="s">
        <v>112</v>
      </c>
      <c r="K4" s="6" t="s">
        <v>113</v>
      </c>
      <c r="L4" s="6" t="s">
        <v>114</v>
      </c>
      <c r="M4" s="6" t="s">
        <v>115</v>
      </c>
    </row>
    <row r="5" spans="1:13" ht="117.95" customHeight="1" x14ac:dyDescent="0.25">
      <c r="A5" s="3">
        <v>3</v>
      </c>
      <c r="B5" s="2" t="s">
        <v>31</v>
      </c>
      <c r="C5" s="2" t="s">
        <v>11</v>
      </c>
      <c r="D5" s="8" t="s">
        <v>32</v>
      </c>
      <c r="E5" s="6" t="s">
        <v>116</v>
      </c>
      <c r="F5" s="6" t="s">
        <v>117</v>
      </c>
      <c r="G5" s="6" t="s">
        <v>118</v>
      </c>
      <c r="H5" s="6" t="s">
        <v>119</v>
      </c>
      <c r="I5" s="6" t="s">
        <v>120</v>
      </c>
      <c r="J5" s="6" t="s">
        <v>121</v>
      </c>
      <c r="K5" s="6" t="s">
        <v>122</v>
      </c>
      <c r="L5" s="6" t="s">
        <v>123</v>
      </c>
      <c r="M5" s="6" t="s">
        <v>124</v>
      </c>
    </row>
  </sheetData>
  <autoFilter ref="A2:M5"/>
  <mergeCells count="1">
    <mergeCell ref="A1:M1"/>
  </mergeCell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1"/>
  <sheetViews>
    <sheetView zoomScale="90" workbookViewId="0">
      <pane xSplit="4" ySplit="2" topLeftCell="E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2" width="9" customWidth="1"/>
    <col min="3" max="3" width="10" customWidth="1"/>
    <col min="4" max="4" width="30" customWidth="1"/>
    <col min="5" max="5" width="55" customWidth="1"/>
    <col min="6" max="6" width="36" customWidth="1"/>
    <col min="7" max="7" width="34" customWidth="1"/>
    <col min="8" max="11" width="40" customWidth="1"/>
    <col min="12" max="12" width="50" customWidth="1"/>
    <col min="13" max="13" width="32" customWidth="1"/>
  </cols>
  <sheetData>
    <row r="1" spans="1:13" ht="24" customHeight="1" x14ac:dyDescent="0.25">
      <c r="A1" s="21" t="s">
        <v>125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39.950000000000003" customHeight="1" x14ac:dyDescent="0.25">
      <c r="A2" s="2" t="s">
        <v>88</v>
      </c>
      <c r="B2" s="2" t="s">
        <v>25</v>
      </c>
      <c r="C2" s="2" t="s">
        <v>2</v>
      </c>
      <c r="D2" s="2" t="s">
        <v>26</v>
      </c>
      <c r="E2" s="2" t="s">
        <v>89</v>
      </c>
      <c r="F2" s="2" t="s">
        <v>90</v>
      </c>
      <c r="G2" s="2" t="s">
        <v>91</v>
      </c>
      <c r="H2" s="2" t="s">
        <v>92</v>
      </c>
      <c r="I2" s="2" t="s">
        <v>93</v>
      </c>
      <c r="J2" s="2" t="s">
        <v>94</v>
      </c>
      <c r="K2" s="2" t="s">
        <v>95</v>
      </c>
      <c r="L2" s="2" t="s">
        <v>96</v>
      </c>
      <c r="M2" s="2" t="s">
        <v>97</v>
      </c>
    </row>
    <row r="3" spans="1:13" ht="99" customHeight="1" x14ac:dyDescent="0.25">
      <c r="A3" s="3">
        <v>1</v>
      </c>
      <c r="B3" s="2" t="s">
        <v>33</v>
      </c>
      <c r="C3" s="2" t="s">
        <v>9</v>
      </c>
      <c r="D3" s="8" t="s">
        <v>34</v>
      </c>
      <c r="E3" s="6" t="s">
        <v>126</v>
      </c>
      <c r="F3" s="6" t="s">
        <v>127</v>
      </c>
      <c r="G3" s="6" t="s">
        <v>128</v>
      </c>
      <c r="H3" s="6" t="s">
        <v>129</v>
      </c>
      <c r="I3" s="6" t="s">
        <v>130</v>
      </c>
      <c r="J3" s="6" t="s">
        <v>131</v>
      </c>
      <c r="K3" s="6" t="s">
        <v>132</v>
      </c>
      <c r="L3" s="6" t="s">
        <v>133</v>
      </c>
      <c r="M3" s="6" t="s">
        <v>134</v>
      </c>
    </row>
    <row r="4" spans="1:13" ht="80.099999999999994" customHeight="1" x14ac:dyDescent="0.25">
      <c r="A4" s="3">
        <v>2</v>
      </c>
      <c r="B4" s="2" t="s">
        <v>35</v>
      </c>
      <c r="C4" s="2" t="s">
        <v>9</v>
      </c>
      <c r="D4" s="8" t="s">
        <v>36</v>
      </c>
      <c r="E4" s="6" t="s">
        <v>135</v>
      </c>
      <c r="F4" s="6" t="s">
        <v>136</v>
      </c>
      <c r="G4" s="6" t="s">
        <v>137</v>
      </c>
      <c r="H4" s="6" t="s">
        <v>138</v>
      </c>
      <c r="I4" s="6" t="s">
        <v>139</v>
      </c>
      <c r="J4" s="6" t="s">
        <v>140</v>
      </c>
      <c r="K4" s="6" t="s">
        <v>141</v>
      </c>
      <c r="L4" s="6" t="s">
        <v>142</v>
      </c>
      <c r="M4" s="6" t="s">
        <v>143</v>
      </c>
    </row>
    <row r="5" spans="1:13" ht="80.099999999999994" customHeight="1" x14ac:dyDescent="0.25">
      <c r="A5" s="3">
        <v>3</v>
      </c>
      <c r="B5" s="2" t="s">
        <v>37</v>
      </c>
      <c r="C5" s="2" t="s">
        <v>9</v>
      </c>
      <c r="D5" s="8" t="s">
        <v>38</v>
      </c>
      <c r="E5" s="6" t="s">
        <v>144</v>
      </c>
      <c r="F5" s="6" t="s">
        <v>145</v>
      </c>
      <c r="G5" s="6" t="s">
        <v>146</v>
      </c>
      <c r="H5" s="6" t="s">
        <v>147</v>
      </c>
      <c r="I5" s="6" t="s">
        <v>148</v>
      </c>
      <c r="J5" s="6" t="s">
        <v>149</v>
      </c>
      <c r="K5" s="6" t="s">
        <v>150</v>
      </c>
      <c r="L5" s="6" t="s">
        <v>151</v>
      </c>
      <c r="M5" s="6" t="s">
        <v>152</v>
      </c>
    </row>
    <row r="6" spans="1:13" ht="99" customHeight="1" x14ac:dyDescent="0.25">
      <c r="A6" s="3">
        <v>4</v>
      </c>
      <c r="B6" s="2" t="s">
        <v>39</v>
      </c>
      <c r="C6" s="2" t="s">
        <v>9</v>
      </c>
      <c r="D6" s="8" t="s">
        <v>40</v>
      </c>
      <c r="E6" s="6" t="s">
        <v>153</v>
      </c>
      <c r="F6" s="6" t="s">
        <v>154</v>
      </c>
      <c r="G6" s="6" t="s">
        <v>155</v>
      </c>
      <c r="H6" s="6" t="s">
        <v>156</v>
      </c>
      <c r="I6" s="6" t="s">
        <v>157</v>
      </c>
      <c r="J6" s="6" t="s">
        <v>158</v>
      </c>
      <c r="K6" s="6" t="s">
        <v>159</v>
      </c>
      <c r="L6" s="6" t="s">
        <v>160</v>
      </c>
      <c r="M6" s="6" t="s">
        <v>161</v>
      </c>
    </row>
    <row r="7" spans="1:13" ht="80.099999999999994" customHeight="1" x14ac:dyDescent="0.25">
      <c r="A7" s="3">
        <v>5</v>
      </c>
      <c r="B7" s="2" t="s">
        <v>41</v>
      </c>
      <c r="C7" s="2" t="s">
        <v>9</v>
      </c>
      <c r="D7" s="8" t="s">
        <v>42</v>
      </c>
      <c r="E7" s="6" t="s">
        <v>162</v>
      </c>
      <c r="F7" s="6" t="s">
        <v>163</v>
      </c>
      <c r="G7" s="6" t="s">
        <v>164</v>
      </c>
      <c r="H7" s="6" t="s">
        <v>165</v>
      </c>
      <c r="I7" s="6" t="s">
        <v>166</v>
      </c>
      <c r="J7" s="6" t="s">
        <v>167</v>
      </c>
      <c r="K7" s="6" t="s">
        <v>168</v>
      </c>
      <c r="L7" s="6" t="s">
        <v>169</v>
      </c>
      <c r="M7" s="6" t="s">
        <v>170</v>
      </c>
    </row>
    <row r="8" spans="1:13" ht="80.099999999999994" customHeight="1" x14ac:dyDescent="0.25">
      <c r="A8" s="3">
        <v>6</v>
      </c>
      <c r="B8" s="2" t="s">
        <v>43</v>
      </c>
      <c r="C8" s="2" t="s">
        <v>9</v>
      </c>
      <c r="D8" s="8" t="s">
        <v>44</v>
      </c>
      <c r="E8" s="6" t="s">
        <v>171</v>
      </c>
      <c r="F8" s="6" t="s">
        <v>172</v>
      </c>
      <c r="G8" s="6" t="s">
        <v>173</v>
      </c>
      <c r="H8" s="6" t="s">
        <v>174</v>
      </c>
      <c r="I8" s="6" t="s">
        <v>175</v>
      </c>
      <c r="J8" s="6" t="s">
        <v>176</v>
      </c>
      <c r="K8" s="6" t="s">
        <v>177</v>
      </c>
      <c r="L8" s="6" t="s">
        <v>178</v>
      </c>
      <c r="M8" s="6" t="s">
        <v>179</v>
      </c>
    </row>
    <row r="9" spans="1:13" ht="80.099999999999994" customHeight="1" x14ac:dyDescent="0.25">
      <c r="A9" s="3">
        <v>7</v>
      </c>
      <c r="B9" s="2" t="s">
        <v>45</v>
      </c>
      <c r="C9" s="2" t="s">
        <v>9</v>
      </c>
      <c r="D9" s="8" t="s">
        <v>46</v>
      </c>
      <c r="E9" s="6" t="s">
        <v>180</v>
      </c>
      <c r="F9" s="6" t="s">
        <v>181</v>
      </c>
      <c r="G9" s="6" t="s">
        <v>182</v>
      </c>
      <c r="H9" s="6" t="s">
        <v>183</v>
      </c>
      <c r="I9" s="6" t="s">
        <v>184</v>
      </c>
      <c r="J9" s="6" t="s">
        <v>185</v>
      </c>
      <c r="K9" s="6" t="s">
        <v>186</v>
      </c>
      <c r="L9" s="6" t="s">
        <v>187</v>
      </c>
      <c r="M9" s="6" t="s">
        <v>188</v>
      </c>
    </row>
    <row r="10" spans="1:13" ht="99" customHeight="1" x14ac:dyDescent="0.25">
      <c r="A10" s="3">
        <v>8</v>
      </c>
      <c r="B10" s="2" t="s">
        <v>47</v>
      </c>
      <c r="C10" s="2" t="s">
        <v>9</v>
      </c>
      <c r="D10" s="8" t="s">
        <v>48</v>
      </c>
      <c r="E10" s="6" t="s">
        <v>189</v>
      </c>
      <c r="F10" s="6" t="s">
        <v>190</v>
      </c>
      <c r="G10" s="6" t="s">
        <v>191</v>
      </c>
      <c r="H10" s="6" t="s">
        <v>192</v>
      </c>
      <c r="I10" s="6" t="s">
        <v>193</v>
      </c>
      <c r="J10" s="6" t="s">
        <v>194</v>
      </c>
      <c r="K10" s="6" t="s">
        <v>195</v>
      </c>
      <c r="L10" s="6" t="s">
        <v>196</v>
      </c>
      <c r="M10" s="6" t="s">
        <v>197</v>
      </c>
    </row>
    <row r="11" spans="1:13" ht="80.099999999999994" customHeight="1" x14ac:dyDescent="0.25">
      <c r="A11" s="3">
        <v>9</v>
      </c>
      <c r="B11" s="2" t="s">
        <v>49</v>
      </c>
      <c r="C11" s="2" t="s">
        <v>9</v>
      </c>
      <c r="D11" s="8" t="s">
        <v>50</v>
      </c>
      <c r="E11" s="6" t="s">
        <v>198</v>
      </c>
      <c r="F11" s="6" t="s">
        <v>199</v>
      </c>
      <c r="G11" s="6" t="s">
        <v>200</v>
      </c>
      <c r="H11" s="6" t="s">
        <v>201</v>
      </c>
      <c r="I11" s="6" t="s">
        <v>202</v>
      </c>
      <c r="J11" s="6" t="s">
        <v>203</v>
      </c>
      <c r="K11" s="6" t="s">
        <v>204</v>
      </c>
      <c r="L11" s="6" t="s">
        <v>205</v>
      </c>
      <c r="M11" s="6" t="s">
        <v>206</v>
      </c>
    </row>
  </sheetData>
  <autoFilter ref="A2:M11"/>
  <mergeCells count="1">
    <mergeCell ref="A1:M1"/>
  </mergeCells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0"/>
  <sheetViews>
    <sheetView zoomScale="90" workbookViewId="0">
      <pane xSplit="4" ySplit="2" topLeftCell="E3" activePane="bottomRight" state="frozen"/>
      <selection pane="topRight"/>
      <selection pane="bottomLeft"/>
      <selection pane="bottomRight" sqref="A1:M1"/>
    </sheetView>
  </sheetViews>
  <sheetFormatPr defaultRowHeight="15" x14ac:dyDescent="0.25"/>
  <cols>
    <col min="1" max="1" width="6" customWidth="1"/>
    <col min="2" max="2" width="9" customWidth="1"/>
    <col min="3" max="3" width="10" customWidth="1"/>
    <col min="4" max="4" width="30" customWidth="1"/>
    <col min="5" max="5" width="55" customWidth="1"/>
    <col min="6" max="6" width="36" customWidth="1"/>
    <col min="7" max="7" width="34" customWidth="1"/>
    <col min="8" max="11" width="40" customWidth="1"/>
    <col min="12" max="12" width="50" customWidth="1"/>
    <col min="13" max="13" width="32" customWidth="1"/>
  </cols>
  <sheetData>
    <row r="1" spans="1:13" ht="24" customHeight="1" x14ac:dyDescent="0.25">
      <c r="A1" s="21" t="s">
        <v>207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39.950000000000003" customHeight="1" x14ac:dyDescent="0.25">
      <c r="A2" s="2" t="s">
        <v>88</v>
      </c>
      <c r="B2" s="2" t="s">
        <v>25</v>
      </c>
      <c r="C2" s="2" t="s">
        <v>2</v>
      </c>
      <c r="D2" s="2" t="s">
        <v>26</v>
      </c>
      <c r="E2" s="2" t="s">
        <v>89</v>
      </c>
      <c r="F2" s="2" t="s">
        <v>90</v>
      </c>
      <c r="G2" s="2" t="s">
        <v>91</v>
      </c>
      <c r="H2" s="2" t="s">
        <v>92</v>
      </c>
      <c r="I2" s="2" t="s">
        <v>93</v>
      </c>
      <c r="J2" s="2" t="s">
        <v>94</v>
      </c>
      <c r="K2" s="2" t="s">
        <v>95</v>
      </c>
      <c r="L2" s="2" t="s">
        <v>96</v>
      </c>
      <c r="M2" s="2" t="s">
        <v>97</v>
      </c>
    </row>
    <row r="3" spans="1:13" ht="117.95" customHeight="1" x14ac:dyDescent="0.25">
      <c r="A3" s="3">
        <v>1</v>
      </c>
      <c r="B3" s="2" t="s">
        <v>51</v>
      </c>
      <c r="C3" s="2" t="s">
        <v>7</v>
      </c>
      <c r="D3" s="8" t="s">
        <v>52</v>
      </c>
      <c r="E3" s="6" t="s">
        <v>208</v>
      </c>
      <c r="F3" s="6" t="s">
        <v>209</v>
      </c>
      <c r="G3" s="6" t="s">
        <v>210</v>
      </c>
      <c r="H3" s="6" t="s">
        <v>211</v>
      </c>
      <c r="I3" s="6" t="s">
        <v>212</v>
      </c>
      <c r="J3" s="6" t="s">
        <v>213</v>
      </c>
      <c r="K3" s="6" t="s">
        <v>214</v>
      </c>
      <c r="L3" s="6" t="s">
        <v>215</v>
      </c>
      <c r="M3" s="6" t="s">
        <v>216</v>
      </c>
    </row>
    <row r="4" spans="1:13" ht="80.099999999999994" customHeight="1" x14ac:dyDescent="0.25">
      <c r="A4" s="3">
        <v>2</v>
      </c>
      <c r="B4" s="2" t="s">
        <v>53</v>
      </c>
      <c r="C4" s="2" t="s">
        <v>7</v>
      </c>
      <c r="D4" s="8" t="s">
        <v>54</v>
      </c>
      <c r="E4" s="6" t="s">
        <v>217</v>
      </c>
      <c r="F4" s="6" t="s">
        <v>218</v>
      </c>
      <c r="G4" s="6" t="s">
        <v>219</v>
      </c>
      <c r="H4" s="6" t="s">
        <v>220</v>
      </c>
      <c r="I4" s="6" t="s">
        <v>221</v>
      </c>
      <c r="J4" s="6" t="s">
        <v>222</v>
      </c>
      <c r="K4" s="6" t="s">
        <v>223</v>
      </c>
      <c r="L4" s="6" t="s">
        <v>224</v>
      </c>
      <c r="M4" s="6" t="s">
        <v>225</v>
      </c>
    </row>
    <row r="5" spans="1:13" ht="99" customHeight="1" x14ac:dyDescent="0.25">
      <c r="A5" s="3">
        <v>3</v>
      </c>
      <c r="B5" s="2" t="s">
        <v>55</v>
      </c>
      <c r="C5" s="2" t="s">
        <v>7</v>
      </c>
      <c r="D5" s="8" t="s">
        <v>56</v>
      </c>
      <c r="E5" s="6" t="s">
        <v>226</v>
      </c>
      <c r="F5" s="6" t="s">
        <v>227</v>
      </c>
      <c r="G5" s="6" t="s">
        <v>228</v>
      </c>
      <c r="H5" s="6" t="s">
        <v>229</v>
      </c>
      <c r="I5" s="6" t="s">
        <v>230</v>
      </c>
      <c r="J5" s="6" t="s">
        <v>231</v>
      </c>
      <c r="K5" s="6" t="s">
        <v>232</v>
      </c>
      <c r="L5" s="6" t="s">
        <v>233</v>
      </c>
      <c r="M5" s="6" t="s">
        <v>234</v>
      </c>
    </row>
    <row r="6" spans="1:13" ht="80.099999999999994" customHeight="1" x14ac:dyDescent="0.25">
      <c r="A6" s="3">
        <v>4</v>
      </c>
      <c r="B6" s="2" t="s">
        <v>57</v>
      </c>
      <c r="C6" s="2" t="s">
        <v>7</v>
      </c>
      <c r="D6" s="8" t="s">
        <v>58</v>
      </c>
      <c r="E6" s="6" t="s">
        <v>235</v>
      </c>
      <c r="F6" s="6" t="s">
        <v>236</v>
      </c>
      <c r="G6" s="6" t="s">
        <v>237</v>
      </c>
      <c r="H6" s="6" t="s">
        <v>238</v>
      </c>
      <c r="I6" s="6" t="s">
        <v>239</v>
      </c>
      <c r="J6" s="6" t="s">
        <v>240</v>
      </c>
      <c r="K6" s="6" t="s">
        <v>241</v>
      </c>
      <c r="L6" s="6" t="s">
        <v>242</v>
      </c>
      <c r="M6" s="6" t="s">
        <v>243</v>
      </c>
    </row>
    <row r="7" spans="1:13" ht="80.099999999999994" customHeight="1" x14ac:dyDescent="0.25">
      <c r="A7" s="3">
        <v>5</v>
      </c>
      <c r="B7" s="2" t="s">
        <v>59</v>
      </c>
      <c r="C7" s="2" t="s">
        <v>7</v>
      </c>
      <c r="D7" s="8" t="s">
        <v>60</v>
      </c>
      <c r="E7" s="6" t="s">
        <v>244</v>
      </c>
      <c r="F7" s="6" t="s">
        <v>245</v>
      </c>
      <c r="G7" s="6" t="s">
        <v>246</v>
      </c>
      <c r="H7" s="6" t="s">
        <v>247</v>
      </c>
      <c r="I7" s="6" t="s">
        <v>248</v>
      </c>
      <c r="J7" s="6" t="s">
        <v>249</v>
      </c>
      <c r="K7" s="6" t="s">
        <v>250</v>
      </c>
      <c r="L7" s="6" t="s">
        <v>251</v>
      </c>
      <c r="M7" s="6" t="s">
        <v>252</v>
      </c>
    </row>
    <row r="8" spans="1:13" ht="99" customHeight="1" x14ac:dyDescent="0.25">
      <c r="A8" s="3">
        <v>6</v>
      </c>
      <c r="B8" s="2" t="s">
        <v>61</v>
      </c>
      <c r="C8" s="2" t="s">
        <v>7</v>
      </c>
      <c r="D8" s="8" t="s">
        <v>62</v>
      </c>
      <c r="E8" s="6" t="s">
        <v>253</v>
      </c>
      <c r="F8" s="6" t="s">
        <v>254</v>
      </c>
      <c r="G8" s="6" t="s">
        <v>255</v>
      </c>
      <c r="H8" s="6" t="s">
        <v>256</v>
      </c>
      <c r="I8" s="6" t="s">
        <v>257</v>
      </c>
      <c r="J8" s="6" t="s">
        <v>258</v>
      </c>
      <c r="K8" s="6" t="s">
        <v>259</v>
      </c>
      <c r="L8" s="6" t="s">
        <v>260</v>
      </c>
      <c r="M8" s="6" t="s">
        <v>261</v>
      </c>
    </row>
    <row r="9" spans="1:13" ht="80.099999999999994" customHeight="1" x14ac:dyDescent="0.25">
      <c r="A9" s="3">
        <v>7</v>
      </c>
      <c r="B9" s="2" t="s">
        <v>63</v>
      </c>
      <c r="C9" s="2" t="s">
        <v>7</v>
      </c>
      <c r="D9" s="8" t="s">
        <v>64</v>
      </c>
      <c r="E9" s="6" t="s">
        <v>262</v>
      </c>
      <c r="F9" s="6" t="s">
        <v>263</v>
      </c>
      <c r="G9" s="6" t="s">
        <v>264</v>
      </c>
      <c r="H9" s="6" t="s">
        <v>265</v>
      </c>
      <c r="I9" s="6" t="s">
        <v>266</v>
      </c>
      <c r="J9" s="6" t="s">
        <v>267</v>
      </c>
      <c r="K9" s="6" t="s">
        <v>268</v>
      </c>
      <c r="L9" s="6" t="s">
        <v>269</v>
      </c>
      <c r="M9" s="6" t="s">
        <v>270</v>
      </c>
    </row>
    <row r="10" spans="1:13" ht="80.099999999999994" customHeight="1" x14ac:dyDescent="0.25">
      <c r="A10" s="3">
        <v>8</v>
      </c>
      <c r="B10" s="2" t="s">
        <v>65</v>
      </c>
      <c r="C10" s="2" t="s">
        <v>7</v>
      </c>
      <c r="D10" s="8" t="s">
        <v>66</v>
      </c>
      <c r="E10" s="6" t="s">
        <v>271</v>
      </c>
      <c r="F10" s="6" t="s">
        <v>272</v>
      </c>
      <c r="G10" s="6" t="s">
        <v>273</v>
      </c>
      <c r="H10" s="6" t="s">
        <v>274</v>
      </c>
      <c r="I10" s="6" t="s">
        <v>275</v>
      </c>
      <c r="J10" s="6" t="s">
        <v>276</v>
      </c>
      <c r="K10" s="6" t="s">
        <v>277</v>
      </c>
      <c r="L10" s="6" t="s">
        <v>278</v>
      </c>
      <c r="M10" s="6" t="s">
        <v>279</v>
      </c>
    </row>
    <row r="11" spans="1:13" ht="99" customHeight="1" x14ac:dyDescent="0.25">
      <c r="A11" s="3">
        <v>9</v>
      </c>
      <c r="B11" s="2" t="s">
        <v>67</v>
      </c>
      <c r="C11" s="2" t="s">
        <v>7</v>
      </c>
      <c r="D11" s="8" t="s">
        <v>68</v>
      </c>
      <c r="E11" s="6" t="s">
        <v>280</v>
      </c>
      <c r="F11" s="6" t="s">
        <v>281</v>
      </c>
      <c r="G11" s="6" t="s">
        <v>282</v>
      </c>
      <c r="H11" s="6" t="s">
        <v>283</v>
      </c>
      <c r="I11" s="6" t="s">
        <v>284</v>
      </c>
      <c r="J11" s="6" t="s">
        <v>285</v>
      </c>
      <c r="K11" s="6" t="s">
        <v>286</v>
      </c>
      <c r="L11" s="6" t="s">
        <v>287</v>
      </c>
      <c r="M11" s="6" t="s">
        <v>288</v>
      </c>
    </row>
    <row r="12" spans="1:13" ht="80.099999999999994" customHeight="1" x14ac:dyDescent="0.25">
      <c r="A12" s="3">
        <v>10</v>
      </c>
      <c r="B12" s="2" t="s">
        <v>69</v>
      </c>
      <c r="C12" s="2" t="s">
        <v>7</v>
      </c>
      <c r="D12" s="8" t="s">
        <v>70</v>
      </c>
      <c r="E12" s="6" t="s">
        <v>289</v>
      </c>
      <c r="F12" s="6" t="s">
        <v>290</v>
      </c>
      <c r="G12" s="6" t="s">
        <v>291</v>
      </c>
      <c r="H12" s="6" t="s">
        <v>292</v>
      </c>
      <c r="I12" s="6" t="s">
        <v>293</v>
      </c>
      <c r="J12" s="6" t="s">
        <v>294</v>
      </c>
      <c r="K12" s="6" t="s">
        <v>295</v>
      </c>
      <c r="L12" s="6" t="s">
        <v>296</v>
      </c>
      <c r="M12" s="6" t="s">
        <v>297</v>
      </c>
    </row>
    <row r="13" spans="1:13" ht="80.099999999999994" customHeight="1" x14ac:dyDescent="0.25">
      <c r="A13" s="3">
        <v>11</v>
      </c>
      <c r="B13" s="2" t="s">
        <v>71</v>
      </c>
      <c r="C13" s="2" t="s">
        <v>7</v>
      </c>
      <c r="D13" s="8" t="s">
        <v>72</v>
      </c>
      <c r="E13" s="6" t="s">
        <v>298</v>
      </c>
      <c r="F13" s="6" t="s">
        <v>299</v>
      </c>
      <c r="G13" s="6" t="s">
        <v>300</v>
      </c>
      <c r="H13" s="6" t="s">
        <v>301</v>
      </c>
      <c r="I13" s="6" t="s">
        <v>302</v>
      </c>
      <c r="J13" s="6" t="s">
        <v>303</v>
      </c>
      <c r="K13" s="6" t="s">
        <v>304</v>
      </c>
      <c r="L13" s="6" t="s">
        <v>305</v>
      </c>
      <c r="M13" s="6" t="s">
        <v>306</v>
      </c>
    </row>
    <row r="14" spans="1:13" ht="80.099999999999994" customHeight="1" x14ac:dyDescent="0.25">
      <c r="A14" s="3">
        <v>12</v>
      </c>
      <c r="B14" s="2" t="s">
        <v>73</v>
      </c>
      <c r="C14" s="2" t="s">
        <v>7</v>
      </c>
      <c r="D14" s="8" t="s">
        <v>74</v>
      </c>
      <c r="E14" s="6" t="s">
        <v>307</v>
      </c>
      <c r="F14" s="6" t="s">
        <v>308</v>
      </c>
      <c r="G14" s="6" t="s">
        <v>309</v>
      </c>
      <c r="H14" s="6" t="s">
        <v>310</v>
      </c>
      <c r="I14" s="6" t="s">
        <v>311</v>
      </c>
      <c r="J14" s="6" t="s">
        <v>312</v>
      </c>
      <c r="K14" s="6" t="s">
        <v>313</v>
      </c>
      <c r="L14" s="6" t="s">
        <v>314</v>
      </c>
      <c r="M14" s="6" t="s">
        <v>315</v>
      </c>
    </row>
    <row r="15" spans="1:13" ht="99" customHeight="1" x14ac:dyDescent="0.25">
      <c r="A15" s="3">
        <v>13</v>
      </c>
      <c r="B15" s="2" t="s">
        <v>75</v>
      </c>
      <c r="C15" s="2" t="s">
        <v>7</v>
      </c>
      <c r="D15" s="8" t="s">
        <v>76</v>
      </c>
      <c r="E15" s="6" t="s">
        <v>316</v>
      </c>
      <c r="F15" s="6" t="s">
        <v>317</v>
      </c>
      <c r="G15" s="6" t="s">
        <v>318</v>
      </c>
      <c r="H15" s="6" t="s">
        <v>319</v>
      </c>
      <c r="I15" s="6" t="s">
        <v>320</v>
      </c>
      <c r="J15" s="6" t="s">
        <v>321</v>
      </c>
      <c r="K15" s="6" t="s">
        <v>322</v>
      </c>
      <c r="L15" s="6" t="s">
        <v>323</v>
      </c>
      <c r="M15" s="6" t="s">
        <v>324</v>
      </c>
    </row>
    <row r="16" spans="1:13" ht="99" customHeight="1" x14ac:dyDescent="0.25">
      <c r="A16" s="3">
        <v>14</v>
      </c>
      <c r="B16" s="2" t="s">
        <v>77</v>
      </c>
      <c r="C16" s="2" t="s">
        <v>7</v>
      </c>
      <c r="D16" s="8" t="s">
        <v>78</v>
      </c>
      <c r="E16" s="6" t="s">
        <v>325</v>
      </c>
      <c r="F16" s="6" t="s">
        <v>326</v>
      </c>
      <c r="G16" s="6" t="s">
        <v>327</v>
      </c>
      <c r="H16" s="6" t="s">
        <v>328</v>
      </c>
      <c r="I16" s="6" t="s">
        <v>329</v>
      </c>
      <c r="J16" s="6" t="s">
        <v>330</v>
      </c>
      <c r="K16" s="6" t="s">
        <v>331</v>
      </c>
      <c r="L16" s="6" t="s">
        <v>332</v>
      </c>
      <c r="M16" s="6" t="s">
        <v>333</v>
      </c>
    </row>
    <row r="17" spans="1:13" ht="80.099999999999994" customHeight="1" x14ac:dyDescent="0.25">
      <c r="A17" s="3">
        <v>15</v>
      </c>
      <c r="B17" s="2" t="s">
        <v>79</v>
      </c>
      <c r="C17" s="2" t="s">
        <v>7</v>
      </c>
      <c r="D17" s="8" t="s">
        <v>80</v>
      </c>
      <c r="E17" s="6" t="s">
        <v>334</v>
      </c>
      <c r="F17" s="6" t="s">
        <v>335</v>
      </c>
      <c r="G17" s="6" t="s">
        <v>336</v>
      </c>
      <c r="H17" s="6" t="s">
        <v>337</v>
      </c>
      <c r="I17" s="6" t="s">
        <v>338</v>
      </c>
      <c r="J17" s="6" t="s">
        <v>339</v>
      </c>
      <c r="K17" s="6" t="s">
        <v>340</v>
      </c>
      <c r="L17" s="6" t="s">
        <v>341</v>
      </c>
      <c r="M17" s="6" t="s">
        <v>342</v>
      </c>
    </row>
    <row r="18" spans="1:13" ht="99" customHeight="1" x14ac:dyDescent="0.25">
      <c r="A18" s="3">
        <v>16</v>
      </c>
      <c r="B18" s="2" t="s">
        <v>81</v>
      </c>
      <c r="C18" s="2" t="s">
        <v>7</v>
      </c>
      <c r="D18" s="8" t="s">
        <v>82</v>
      </c>
      <c r="E18" s="6" t="s">
        <v>343</v>
      </c>
      <c r="F18" s="6" t="s">
        <v>344</v>
      </c>
      <c r="G18" s="6" t="s">
        <v>345</v>
      </c>
      <c r="H18" s="6" t="s">
        <v>346</v>
      </c>
      <c r="I18" s="6" t="s">
        <v>347</v>
      </c>
      <c r="J18" s="6" t="s">
        <v>348</v>
      </c>
      <c r="K18" s="6" t="s">
        <v>349</v>
      </c>
      <c r="L18" s="6" t="s">
        <v>350</v>
      </c>
      <c r="M18" s="6" t="s">
        <v>351</v>
      </c>
    </row>
    <row r="19" spans="1:13" ht="80.099999999999994" customHeight="1" x14ac:dyDescent="0.25">
      <c r="A19" s="3">
        <v>17</v>
      </c>
      <c r="B19" s="2" t="s">
        <v>83</v>
      </c>
      <c r="C19" s="2" t="s">
        <v>7</v>
      </c>
      <c r="D19" s="8" t="s">
        <v>84</v>
      </c>
      <c r="E19" s="6" t="s">
        <v>352</v>
      </c>
      <c r="F19" s="6" t="s">
        <v>353</v>
      </c>
      <c r="G19" s="6" t="s">
        <v>354</v>
      </c>
      <c r="H19" s="6" t="s">
        <v>355</v>
      </c>
      <c r="I19" s="6" t="s">
        <v>356</v>
      </c>
      <c r="J19" s="6" t="s">
        <v>357</v>
      </c>
      <c r="K19" s="6" t="s">
        <v>358</v>
      </c>
      <c r="L19" s="6" t="s">
        <v>359</v>
      </c>
      <c r="M19" s="6" t="s">
        <v>360</v>
      </c>
    </row>
    <row r="20" spans="1:13" ht="80.099999999999994" customHeight="1" x14ac:dyDescent="0.25">
      <c r="A20" s="3">
        <v>18</v>
      </c>
      <c r="B20" s="2" t="s">
        <v>85</v>
      </c>
      <c r="C20" s="2" t="s">
        <v>7</v>
      </c>
      <c r="D20" s="8" t="s">
        <v>86</v>
      </c>
      <c r="E20" s="6" t="s">
        <v>361</v>
      </c>
      <c r="F20" s="6" t="s">
        <v>362</v>
      </c>
      <c r="G20" s="6" t="s">
        <v>363</v>
      </c>
      <c r="H20" s="6" t="s">
        <v>364</v>
      </c>
      <c r="I20" s="6" t="s">
        <v>365</v>
      </c>
      <c r="J20" s="6" t="s">
        <v>366</v>
      </c>
      <c r="K20" s="6" t="s">
        <v>367</v>
      </c>
      <c r="L20" s="6" t="s">
        <v>368</v>
      </c>
      <c r="M20" s="6" t="s">
        <v>369</v>
      </c>
    </row>
  </sheetData>
  <autoFilter ref="A2:M20"/>
  <mergeCells count="1">
    <mergeCell ref="A1:M1"/>
  </mergeCells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sqref="A1:E1"/>
    </sheetView>
  </sheetViews>
  <sheetFormatPr defaultRowHeight="15" x14ac:dyDescent="0.25"/>
  <cols>
    <col min="1" max="1" width="8" customWidth="1"/>
    <col min="2" max="2" width="30" customWidth="1"/>
    <col min="3" max="4" width="52" customWidth="1"/>
    <col min="5" max="5" width="46" customWidth="1"/>
  </cols>
  <sheetData>
    <row r="1" spans="1:5" ht="18.75" x14ac:dyDescent="0.3">
      <c r="A1" s="15" t="s">
        <v>370</v>
      </c>
      <c r="B1" s="14"/>
      <c r="C1" s="14"/>
      <c r="D1" s="14"/>
      <c r="E1" s="14"/>
    </row>
    <row r="2" spans="1:5" ht="18.75" x14ac:dyDescent="0.25">
      <c r="A2" s="2" t="s">
        <v>371</v>
      </c>
      <c r="B2" s="2" t="s">
        <v>372</v>
      </c>
      <c r="C2" s="2" t="s">
        <v>373</v>
      </c>
      <c r="D2" s="2" t="s">
        <v>374</v>
      </c>
      <c r="E2" s="2" t="s">
        <v>375</v>
      </c>
    </row>
    <row r="3" spans="1:5" ht="80.099999999999994" customHeight="1" x14ac:dyDescent="0.25">
      <c r="A3" s="2" t="s">
        <v>376</v>
      </c>
      <c r="B3" s="8" t="s">
        <v>377</v>
      </c>
      <c r="C3" s="6" t="s">
        <v>378</v>
      </c>
      <c r="D3" s="6" t="s">
        <v>379</v>
      </c>
      <c r="E3" s="6" t="s">
        <v>380</v>
      </c>
    </row>
    <row r="4" spans="1:5" ht="60.95" customHeight="1" x14ac:dyDescent="0.25">
      <c r="A4" s="2" t="s">
        <v>381</v>
      </c>
      <c r="B4" s="8" t="s">
        <v>382</v>
      </c>
      <c r="C4" s="6" t="s">
        <v>383</v>
      </c>
      <c r="D4" s="6" t="s">
        <v>384</v>
      </c>
      <c r="E4" s="6" t="s">
        <v>385</v>
      </c>
    </row>
    <row r="5" spans="1:5" ht="60.95" customHeight="1" x14ac:dyDescent="0.25">
      <c r="A5" s="2" t="s">
        <v>386</v>
      </c>
      <c r="B5" s="8" t="s">
        <v>387</v>
      </c>
      <c r="C5" s="6" t="s">
        <v>388</v>
      </c>
      <c r="D5" s="6" t="s">
        <v>389</v>
      </c>
      <c r="E5" s="6" t="s">
        <v>390</v>
      </c>
    </row>
    <row r="6" spans="1:5" ht="60.95" customHeight="1" x14ac:dyDescent="0.25">
      <c r="A6" s="2" t="s">
        <v>391</v>
      </c>
      <c r="B6" s="8" t="s">
        <v>392</v>
      </c>
      <c r="C6" s="6" t="s">
        <v>393</v>
      </c>
      <c r="D6" s="6" t="s">
        <v>394</v>
      </c>
      <c r="E6" s="6" t="s">
        <v>395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D3" sqref="D3"/>
    </sheetView>
  </sheetViews>
  <sheetFormatPr defaultRowHeight="15" x14ac:dyDescent="0.25"/>
  <cols>
    <col min="1" max="1" width="13" customWidth="1"/>
    <col min="2" max="2" width="85" customWidth="1"/>
    <col min="3" max="3" width="12" customWidth="1"/>
    <col min="4" max="4" width="48" customWidth="1"/>
  </cols>
  <sheetData>
    <row r="1" spans="1:4" ht="18.75" x14ac:dyDescent="0.3">
      <c r="A1" s="15" t="s">
        <v>396</v>
      </c>
      <c r="B1" s="14"/>
      <c r="C1" s="14"/>
      <c r="D1" s="14"/>
    </row>
    <row r="2" spans="1:4" ht="18.75" x14ac:dyDescent="0.25">
      <c r="A2" s="2" t="s">
        <v>397</v>
      </c>
      <c r="B2" s="2" t="s">
        <v>398</v>
      </c>
      <c r="C2" s="2" t="s">
        <v>399</v>
      </c>
      <c r="D2" s="2" t="s">
        <v>400</v>
      </c>
    </row>
    <row r="3" spans="1:4" ht="39.950000000000003" customHeight="1" x14ac:dyDescent="0.25">
      <c r="A3" s="3" t="s">
        <v>401</v>
      </c>
      <c r="B3" s="6" t="s">
        <v>402</v>
      </c>
      <c r="C3" s="4">
        <v>0.3</v>
      </c>
      <c r="D3" s="6" t="s">
        <v>403</v>
      </c>
    </row>
    <row r="4" spans="1:4" ht="39.950000000000003" customHeight="1" x14ac:dyDescent="0.25">
      <c r="A4" s="3" t="s">
        <v>401</v>
      </c>
      <c r="B4" s="6" t="s">
        <v>404</v>
      </c>
      <c r="C4" s="4">
        <v>0.1</v>
      </c>
      <c r="D4" s="6" t="s">
        <v>405</v>
      </c>
    </row>
    <row r="5" spans="1:4" ht="39.950000000000003" customHeight="1" x14ac:dyDescent="0.25">
      <c r="A5" s="3" t="s">
        <v>401</v>
      </c>
      <c r="B5" s="6" t="s">
        <v>406</v>
      </c>
      <c r="C5" s="4">
        <v>0.1</v>
      </c>
      <c r="D5" s="6"/>
    </row>
    <row r="6" spans="1:4" ht="39.950000000000003" customHeight="1" x14ac:dyDescent="0.25">
      <c r="A6" s="3" t="s">
        <v>401</v>
      </c>
      <c r="B6" s="6" t="s">
        <v>407</v>
      </c>
      <c r="C6" s="4">
        <v>0.1</v>
      </c>
      <c r="D6" s="6"/>
    </row>
    <row r="7" spans="1:4" ht="39.950000000000003" customHeight="1" x14ac:dyDescent="0.25">
      <c r="A7" s="3" t="s">
        <v>408</v>
      </c>
      <c r="B7" s="6" t="s">
        <v>409</v>
      </c>
      <c r="C7" s="4">
        <v>0.2</v>
      </c>
      <c r="D7" s="6" t="s">
        <v>410</v>
      </c>
    </row>
    <row r="8" spans="1:4" ht="39.950000000000003" customHeight="1" x14ac:dyDescent="0.25">
      <c r="A8" s="3" t="s">
        <v>408</v>
      </c>
      <c r="B8" s="6" t="s">
        <v>411</v>
      </c>
      <c r="C8" s="4">
        <v>0.15</v>
      </c>
      <c r="D8" s="6" t="s">
        <v>412</v>
      </c>
    </row>
    <row r="9" spans="1:4" ht="39.950000000000003" customHeight="1" x14ac:dyDescent="0.25">
      <c r="A9" s="3" t="s">
        <v>408</v>
      </c>
      <c r="B9" s="6" t="s">
        <v>413</v>
      </c>
      <c r="C9" s="4">
        <v>0.05</v>
      </c>
      <c r="D9" s="6"/>
    </row>
    <row r="10" spans="1:4" ht="18.75" x14ac:dyDescent="0.25">
      <c r="A10" s="2"/>
      <c r="B10" s="2" t="s">
        <v>414</v>
      </c>
      <c r="C10" s="7">
        <f>SUM(C3:C9)</f>
        <v>1</v>
      </c>
      <c r="D10" s="2"/>
    </row>
    <row r="12" spans="1:4" ht="18.75" x14ac:dyDescent="0.3">
      <c r="A12" s="1" t="s">
        <v>415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9" customWidth="1"/>
    <col min="2" max="2" width="11" customWidth="1"/>
    <col min="3" max="3" width="10" customWidth="1"/>
    <col min="4" max="4" width="52" customWidth="1"/>
    <col min="5" max="5" width="10" customWidth="1"/>
    <col min="6" max="9" width="32" customWidth="1"/>
    <col min="10" max="10" width="16" customWidth="1"/>
    <col min="11" max="11" width="30" customWidth="1"/>
    <col min="12" max="12" width="20" customWidth="1"/>
  </cols>
  <sheetData>
    <row r="1" spans="1:12" ht="18.75" x14ac:dyDescent="0.3">
      <c r="A1" s="15" t="s">
        <v>416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8.75" x14ac:dyDescent="0.3">
      <c r="A2" s="16" t="s">
        <v>417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ht="37.5" x14ac:dyDescent="0.25">
      <c r="A3" s="2" t="s">
        <v>401</v>
      </c>
      <c r="B3" s="2" t="s">
        <v>418</v>
      </c>
      <c r="C3" s="2" t="s">
        <v>25</v>
      </c>
      <c r="D3" s="2" t="s">
        <v>26</v>
      </c>
      <c r="E3" s="2" t="s">
        <v>2</v>
      </c>
      <c r="F3" s="2" t="s">
        <v>419</v>
      </c>
      <c r="G3" s="2" t="s">
        <v>420</v>
      </c>
      <c r="H3" s="2" t="s">
        <v>421</v>
      </c>
      <c r="I3" s="2" t="s">
        <v>422</v>
      </c>
      <c r="J3" s="2" t="s">
        <v>423</v>
      </c>
      <c r="K3" s="2" t="s">
        <v>424</v>
      </c>
      <c r="L3" s="2" t="s">
        <v>400</v>
      </c>
    </row>
    <row r="4" spans="1:12" ht="18.75" x14ac:dyDescent="0.25">
      <c r="A4" s="9" t="s">
        <v>425</v>
      </c>
      <c r="B4" s="9" t="s">
        <v>426</v>
      </c>
      <c r="C4" s="9" t="s">
        <v>51</v>
      </c>
      <c r="D4" s="10" t="str">
        <f>IF(C4="","",IFERROR(VLOOKUP(C4,DS_ma!$A$1:$C$30,2,FALSE),"Mã không hợp lệ"))</f>
        <v>Đèn giao thông ngã tư có đếm lùi và chế độ ưu tiên</v>
      </c>
      <c r="E4" s="3" t="str">
        <f>IF(C4="","",IFERROR(VLOOKUP(C4,DS_ma!$A$1:$C$30,3,FALSE),""))</f>
        <v>Dễ</v>
      </c>
      <c r="F4" s="9" t="s">
        <v>427</v>
      </c>
      <c r="G4" s="9" t="s">
        <v>428</v>
      </c>
      <c r="H4" s="9" t="s">
        <v>429</v>
      </c>
      <c r="I4" s="9" t="s">
        <v>430</v>
      </c>
      <c r="J4" s="9" t="s">
        <v>431</v>
      </c>
      <c r="K4" s="9" t="s">
        <v>432</v>
      </c>
      <c r="L4" s="9" t="s">
        <v>433</v>
      </c>
    </row>
    <row r="5" spans="1:12" ht="18.75" x14ac:dyDescent="0.25">
      <c r="A5" s="11"/>
      <c r="B5" s="11"/>
      <c r="C5" s="11"/>
      <c r="D5" s="10" t="str">
        <f>IF(C5="","",IFERROR(VLOOKUP(C5,DS_ma!$A$1:$C$30,2,FALSE),"Mã không hợp lệ"))</f>
        <v/>
      </c>
      <c r="E5" s="3" t="str">
        <f>IF(C5="","",IFERROR(VLOOKUP(C5,DS_ma!$A$1:$C$30,3,FALSE),""))</f>
        <v/>
      </c>
      <c r="F5" s="11"/>
      <c r="G5" s="11"/>
      <c r="H5" s="11"/>
      <c r="I5" s="11"/>
      <c r="J5" s="11"/>
      <c r="K5" s="11"/>
      <c r="L5" s="11"/>
    </row>
    <row r="6" spans="1:12" ht="18.75" x14ac:dyDescent="0.25">
      <c r="A6" s="11"/>
      <c r="B6" s="11"/>
      <c r="C6" s="11"/>
      <c r="D6" s="10" t="str">
        <f>IF(C6="","",IFERROR(VLOOKUP(C6,DS_ma!$A$1:$C$30,2,FALSE),"Mã không hợp lệ"))</f>
        <v/>
      </c>
      <c r="E6" s="3" t="str">
        <f>IF(C6="","",IFERROR(VLOOKUP(C6,DS_ma!$A$1:$C$30,3,FALSE),""))</f>
        <v/>
      </c>
      <c r="F6" s="11"/>
      <c r="G6" s="11"/>
      <c r="H6" s="11"/>
      <c r="I6" s="11"/>
      <c r="J6" s="11"/>
      <c r="K6" s="11"/>
      <c r="L6" s="11"/>
    </row>
    <row r="7" spans="1:12" ht="18.75" x14ac:dyDescent="0.25">
      <c r="A7" s="11"/>
      <c r="B7" s="11"/>
      <c r="C7" s="11"/>
      <c r="D7" s="10" t="str">
        <f>IF(C7="","",IFERROR(VLOOKUP(C7,DS_ma!$A$1:$C$30,2,FALSE),"Mã không hợp lệ"))</f>
        <v/>
      </c>
      <c r="E7" s="3" t="str">
        <f>IF(C7="","",IFERROR(VLOOKUP(C7,DS_ma!$A$1:$C$30,3,FALSE),""))</f>
        <v/>
      </c>
      <c r="F7" s="11"/>
      <c r="G7" s="11"/>
      <c r="H7" s="11"/>
      <c r="I7" s="11"/>
      <c r="J7" s="11"/>
      <c r="K7" s="11"/>
      <c r="L7" s="11"/>
    </row>
    <row r="8" spans="1:12" ht="18.75" x14ac:dyDescent="0.25">
      <c r="A8" s="11"/>
      <c r="B8" s="11"/>
      <c r="C8" s="11"/>
      <c r="D8" s="10" t="str">
        <f>IF(C8="","",IFERROR(VLOOKUP(C8,DS_ma!$A$1:$C$30,2,FALSE),"Mã không hợp lệ"))</f>
        <v/>
      </c>
      <c r="E8" s="3" t="str">
        <f>IF(C8="","",IFERROR(VLOOKUP(C8,DS_ma!$A$1:$C$30,3,FALSE),""))</f>
        <v/>
      </c>
      <c r="F8" s="11"/>
      <c r="G8" s="11"/>
      <c r="H8" s="11"/>
      <c r="I8" s="11"/>
      <c r="J8" s="11"/>
      <c r="K8" s="11"/>
      <c r="L8" s="11"/>
    </row>
    <row r="9" spans="1:12" ht="18.75" x14ac:dyDescent="0.25">
      <c r="A9" s="11"/>
      <c r="B9" s="11"/>
      <c r="C9" s="11"/>
      <c r="D9" s="10" t="str">
        <f>IF(C9="","",IFERROR(VLOOKUP(C9,DS_ma!$A$1:$C$30,2,FALSE),"Mã không hợp lệ"))</f>
        <v/>
      </c>
      <c r="E9" s="3" t="str">
        <f>IF(C9="","",IFERROR(VLOOKUP(C9,DS_ma!$A$1:$C$30,3,FALSE),""))</f>
        <v/>
      </c>
      <c r="F9" s="11"/>
      <c r="G9" s="11"/>
      <c r="H9" s="11"/>
      <c r="I9" s="11"/>
      <c r="J9" s="11"/>
      <c r="K9" s="11"/>
      <c r="L9" s="11"/>
    </row>
    <row r="10" spans="1:12" ht="18.75" x14ac:dyDescent="0.25">
      <c r="A10" s="11"/>
      <c r="B10" s="11"/>
      <c r="C10" s="11"/>
      <c r="D10" s="10" t="str">
        <f>IF(C10="","",IFERROR(VLOOKUP(C10,DS_ma!$A$1:$C$30,2,FALSE),"Mã không hợp lệ"))</f>
        <v/>
      </c>
      <c r="E10" s="3" t="str">
        <f>IF(C10="","",IFERROR(VLOOKUP(C10,DS_ma!$A$1:$C$30,3,FALSE),""))</f>
        <v/>
      </c>
      <c r="F10" s="11"/>
      <c r="G10" s="11"/>
      <c r="H10" s="11"/>
      <c r="I10" s="11"/>
      <c r="J10" s="11"/>
      <c r="K10" s="11"/>
      <c r="L10" s="11"/>
    </row>
    <row r="11" spans="1:12" ht="18.75" x14ac:dyDescent="0.25">
      <c r="A11" s="11"/>
      <c r="B11" s="11"/>
      <c r="C11" s="11"/>
      <c r="D11" s="10" t="str">
        <f>IF(C11="","",IFERROR(VLOOKUP(C11,DS_ma!$A$1:$C$30,2,FALSE),"Mã không hợp lệ"))</f>
        <v/>
      </c>
      <c r="E11" s="3" t="str">
        <f>IF(C11="","",IFERROR(VLOOKUP(C11,DS_ma!$A$1:$C$30,3,FALSE),""))</f>
        <v/>
      </c>
      <c r="F11" s="11"/>
      <c r="G11" s="11"/>
      <c r="H11" s="11"/>
      <c r="I11" s="11"/>
      <c r="J11" s="11"/>
      <c r="K11" s="11"/>
      <c r="L11" s="11"/>
    </row>
    <row r="12" spans="1:12" ht="18.75" x14ac:dyDescent="0.25">
      <c r="A12" s="11"/>
      <c r="B12" s="11"/>
      <c r="C12" s="11"/>
      <c r="D12" s="10" t="str">
        <f>IF(C12="","",IFERROR(VLOOKUP(C12,DS_ma!$A$1:$C$30,2,FALSE),"Mã không hợp lệ"))</f>
        <v/>
      </c>
      <c r="E12" s="3" t="str">
        <f>IF(C12="","",IFERROR(VLOOKUP(C12,DS_ma!$A$1:$C$30,3,FALSE),""))</f>
        <v/>
      </c>
      <c r="F12" s="11"/>
      <c r="G12" s="11"/>
      <c r="H12" s="11"/>
      <c r="I12" s="11"/>
      <c r="J12" s="11"/>
      <c r="K12" s="11"/>
      <c r="L12" s="11"/>
    </row>
    <row r="13" spans="1:12" ht="18.75" x14ac:dyDescent="0.25">
      <c r="A13" s="11"/>
      <c r="B13" s="11"/>
      <c r="C13" s="11"/>
      <c r="D13" s="10" t="str">
        <f>IF(C13="","",IFERROR(VLOOKUP(C13,DS_ma!$A$1:$C$30,2,FALSE),"Mã không hợp lệ"))</f>
        <v/>
      </c>
      <c r="E13" s="3" t="str">
        <f>IF(C13="","",IFERROR(VLOOKUP(C13,DS_ma!$A$1:$C$30,3,FALSE),""))</f>
        <v/>
      </c>
      <c r="F13" s="11"/>
      <c r="G13" s="11"/>
      <c r="H13" s="11"/>
      <c r="I13" s="11"/>
      <c r="J13" s="11"/>
      <c r="K13" s="11"/>
      <c r="L13" s="11"/>
    </row>
    <row r="14" spans="1:12" ht="18.75" x14ac:dyDescent="0.25">
      <c r="A14" s="11"/>
      <c r="B14" s="11"/>
      <c r="C14" s="11"/>
      <c r="D14" s="10" t="str">
        <f>IF(C14="","",IFERROR(VLOOKUP(C14,DS_ma!$A$1:$C$30,2,FALSE),"Mã không hợp lệ"))</f>
        <v/>
      </c>
      <c r="E14" s="3" t="str">
        <f>IF(C14="","",IFERROR(VLOOKUP(C14,DS_ma!$A$1:$C$30,3,FALSE),""))</f>
        <v/>
      </c>
      <c r="F14" s="11"/>
      <c r="G14" s="11"/>
      <c r="H14" s="11"/>
      <c r="I14" s="11"/>
      <c r="J14" s="11"/>
      <c r="K14" s="11"/>
      <c r="L14" s="11"/>
    </row>
    <row r="15" spans="1:12" ht="18.75" x14ac:dyDescent="0.25">
      <c r="A15" s="11"/>
      <c r="B15" s="11"/>
      <c r="C15" s="11"/>
      <c r="D15" s="10" t="str">
        <f>IF(C15="","",IFERROR(VLOOKUP(C15,DS_ma!$A$1:$C$30,2,FALSE),"Mã không hợp lệ"))</f>
        <v/>
      </c>
      <c r="E15" s="3" t="str">
        <f>IF(C15="","",IFERROR(VLOOKUP(C15,DS_ma!$A$1:$C$30,3,FALSE),""))</f>
        <v/>
      </c>
      <c r="F15" s="11"/>
      <c r="G15" s="11"/>
      <c r="H15" s="11"/>
      <c r="I15" s="11"/>
      <c r="J15" s="11"/>
      <c r="K15" s="11"/>
      <c r="L15" s="11"/>
    </row>
    <row r="16" spans="1:12" ht="18.75" x14ac:dyDescent="0.25">
      <c r="A16" s="11"/>
      <c r="B16" s="11"/>
      <c r="C16" s="11"/>
      <c r="D16" s="10" t="str">
        <f>IF(C16="","",IFERROR(VLOOKUP(C16,DS_ma!$A$1:$C$30,2,FALSE),"Mã không hợp lệ"))</f>
        <v/>
      </c>
      <c r="E16" s="3" t="str">
        <f>IF(C16="","",IFERROR(VLOOKUP(C16,DS_ma!$A$1:$C$30,3,FALSE),""))</f>
        <v/>
      </c>
      <c r="F16" s="11"/>
      <c r="G16" s="11"/>
      <c r="H16" s="11"/>
      <c r="I16" s="11"/>
      <c r="J16" s="11"/>
      <c r="K16" s="11"/>
      <c r="L16" s="11"/>
    </row>
    <row r="17" spans="1:12" ht="18.75" x14ac:dyDescent="0.25">
      <c r="A17" s="11"/>
      <c r="B17" s="11"/>
      <c r="C17" s="11"/>
      <c r="D17" s="10" t="str">
        <f>IF(C17="","",IFERROR(VLOOKUP(C17,DS_ma!$A$1:$C$30,2,FALSE),"Mã không hợp lệ"))</f>
        <v/>
      </c>
      <c r="E17" s="3" t="str">
        <f>IF(C17="","",IFERROR(VLOOKUP(C17,DS_ma!$A$1:$C$30,3,FALSE),""))</f>
        <v/>
      </c>
      <c r="F17" s="11"/>
      <c r="G17" s="11"/>
      <c r="H17" s="11"/>
      <c r="I17" s="11"/>
      <c r="J17" s="11"/>
      <c r="K17" s="11"/>
      <c r="L17" s="11"/>
    </row>
    <row r="18" spans="1:12" ht="18.75" x14ac:dyDescent="0.25">
      <c r="A18" s="11"/>
      <c r="B18" s="11"/>
      <c r="C18" s="11"/>
      <c r="D18" s="10" t="str">
        <f>IF(C18="","",IFERROR(VLOOKUP(C18,DS_ma!$A$1:$C$30,2,FALSE),"Mã không hợp lệ"))</f>
        <v/>
      </c>
      <c r="E18" s="3" t="str">
        <f>IF(C18="","",IFERROR(VLOOKUP(C18,DS_ma!$A$1:$C$30,3,FALSE),""))</f>
        <v/>
      </c>
      <c r="F18" s="11"/>
      <c r="G18" s="11"/>
      <c r="H18" s="11"/>
      <c r="I18" s="11"/>
      <c r="J18" s="11"/>
      <c r="K18" s="11"/>
      <c r="L18" s="11"/>
    </row>
    <row r="19" spans="1:12" ht="18.75" x14ac:dyDescent="0.25">
      <c r="A19" s="11"/>
      <c r="B19" s="11"/>
      <c r="C19" s="11"/>
      <c r="D19" s="10" t="str">
        <f>IF(C19="","",IFERROR(VLOOKUP(C19,DS_ma!$A$1:$C$30,2,FALSE),"Mã không hợp lệ"))</f>
        <v/>
      </c>
      <c r="E19" s="3" t="str">
        <f>IF(C19="","",IFERROR(VLOOKUP(C19,DS_ma!$A$1:$C$30,3,FALSE),""))</f>
        <v/>
      </c>
      <c r="F19" s="11"/>
      <c r="G19" s="11"/>
      <c r="H19" s="11"/>
      <c r="I19" s="11"/>
      <c r="J19" s="11"/>
      <c r="K19" s="11"/>
      <c r="L19" s="11"/>
    </row>
    <row r="20" spans="1:12" ht="18.75" x14ac:dyDescent="0.25">
      <c r="A20" s="11"/>
      <c r="B20" s="11"/>
      <c r="C20" s="11"/>
      <c r="D20" s="10" t="str">
        <f>IF(C20="","",IFERROR(VLOOKUP(C20,DS_ma!$A$1:$C$30,2,FALSE),"Mã không hợp lệ"))</f>
        <v/>
      </c>
      <c r="E20" s="3" t="str">
        <f>IF(C20="","",IFERROR(VLOOKUP(C20,DS_ma!$A$1:$C$30,3,FALSE),""))</f>
        <v/>
      </c>
      <c r="F20" s="11"/>
      <c r="G20" s="11"/>
      <c r="H20" s="11"/>
      <c r="I20" s="11"/>
      <c r="J20" s="11"/>
      <c r="K20" s="11"/>
      <c r="L20" s="11"/>
    </row>
    <row r="21" spans="1:12" ht="18.75" x14ac:dyDescent="0.25">
      <c r="A21" s="11"/>
      <c r="B21" s="11"/>
      <c r="C21" s="11"/>
      <c r="D21" s="10" t="str">
        <f>IF(C21="","",IFERROR(VLOOKUP(C21,DS_ma!$A$1:$C$30,2,FALSE),"Mã không hợp lệ"))</f>
        <v/>
      </c>
      <c r="E21" s="3" t="str">
        <f>IF(C21="","",IFERROR(VLOOKUP(C21,DS_ma!$A$1:$C$30,3,FALSE),""))</f>
        <v/>
      </c>
      <c r="F21" s="11"/>
      <c r="G21" s="11"/>
      <c r="H21" s="11"/>
      <c r="I21" s="11"/>
      <c r="J21" s="11"/>
      <c r="K21" s="11"/>
      <c r="L21" s="11"/>
    </row>
    <row r="22" spans="1:12" ht="18.75" x14ac:dyDescent="0.25">
      <c r="A22" s="11"/>
      <c r="B22" s="11"/>
      <c r="C22" s="11"/>
      <c r="D22" s="10" t="str">
        <f>IF(C22="","",IFERROR(VLOOKUP(C22,DS_ma!$A$1:$C$30,2,FALSE),"Mã không hợp lệ"))</f>
        <v/>
      </c>
      <c r="E22" s="3" t="str">
        <f>IF(C22="","",IFERROR(VLOOKUP(C22,DS_ma!$A$1:$C$30,3,FALSE),""))</f>
        <v/>
      </c>
      <c r="F22" s="11"/>
      <c r="G22" s="11"/>
      <c r="H22" s="11"/>
      <c r="I22" s="11"/>
      <c r="J22" s="11"/>
      <c r="K22" s="11"/>
      <c r="L22" s="11"/>
    </row>
    <row r="23" spans="1:12" ht="18.75" x14ac:dyDescent="0.25">
      <c r="A23" s="11"/>
      <c r="B23" s="11"/>
      <c r="C23" s="11"/>
      <c r="D23" s="10" t="str">
        <f>IF(C23="","",IFERROR(VLOOKUP(C23,DS_ma!$A$1:$C$30,2,FALSE),"Mã không hợp lệ"))</f>
        <v/>
      </c>
      <c r="E23" s="3" t="str">
        <f>IF(C23="","",IFERROR(VLOOKUP(C23,DS_ma!$A$1:$C$30,3,FALSE),""))</f>
        <v/>
      </c>
      <c r="F23" s="11"/>
      <c r="G23" s="11"/>
      <c r="H23" s="11"/>
      <c r="I23" s="11"/>
      <c r="J23" s="11"/>
      <c r="K23" s="11"/>
      <c r="L23" s="11"/>
    </row>
    <row r="24" spans="1:12" ht="18.75" x14ac:dyDescent="0.25">
      <c r="A24" s="11"/>
      <c r="B24" s="11"/>
      <c r="C24" s="11"/>
      <c r="D24" s="10" t="str">
        <f>IF(C24="","",IFERROR(VLOOKUP(C24,DS_ma!$A$1:$C$30,2,FALSE),"Mã không hợp lệ"))</f>
        <v/>
      </c>
      <c r="E24" s="3" t="str">
        <f>IF(C24="","",IFERROR(VLOOKUP(C24,DS_ma!$A$1:$C$30,3,FALSE),""))</f>
        <v/>
      </c>
      <c r="F24" s="11"/>
      <c r="G24" s="11"/>
      <c r="H24" s="11"/>
      <c r="I24" s="11"/>
      <c r="J24" s="11"/>
      <c r="K24" s="11"/>
      <c r="L24" s="11"/>
    </row>
    <row r="25" spans="1:12" ht="18.75" x14ac:dyDescent="0.25">
      <c r="A25" s="11"/>
      <c r="B25" s="11"/>
      <c r="C25" s="11"/>
      <c r="D25" s="10" t="str">
        <f>IF(C25="","",IFERROR(VLOOKUP(C25,DS_ma!$A$1:$C$30,2,FALSE),"Mã không hợp lệ"))</f>
        <v/>
      </c>
      <c r="E25" s="3" t="str">
        <f>IF(C25="","",IFERROR(VLOOKUP(C25,DS_ma!$A$1:$C$30,3,FALSE),""))</f>
        <v/>
      </c>
      <c r="F25" s="11"/>
      <c r="G25" s="11"/>
      <c r="H25" s="11"/>
      <c r="I25" s="11"/>
      <c r="J25" s="11"/>
      <c r="K25" s="11"/>
      <c r="L25" s="11"/>
    </row>
    <row r="26" spans="1:12" ht="18.75" x14ac:dyDescent="0.25">
      <c r="A26" s="11"/>
      <c r="B26" s="11"/>
      <c r="C26" s="11"/>
      <c r="D26" s="10" t="str">
        <f>IF(C26="","",IFERROR(VLOOKUP(C26,DS_ma!$A$1:$C$30,2,FALSE),"Mã không hợp lệ"))</f>
        <v/>
      </c>
      <c r="E26" s="3" t="str">
        <f>IF(C26="","",IFERROR(VLOOKUP(C26,DS_ma!$A$1:$C$30,3,FALSE),""))</f>
        <v/>
      </c>
      <c r="F26" s="11"/>
      <c r="G26" s="11"/>
      <c r="H26" s="11"/>
      <c r="I26" s="11"/>
      <c r="J26" s="11"/>
      <c r="K26" s="11"/>
      <c r="L26" s="11"/>
    </row>
    <row r="27" spans="1:12" ht="18.75" x14ac:dyDescent="0.25">
      <c r="A27" s="11"/>
      <c r="B27" s="11"/>
      <c r="C27" s="11"/>
      <c r="D27" s="10" t="str">
        <f>IF(C27="","",IFERROR(VLOOKUP(C27,DS_ma!$A$1:$C$30,2,FALSE),"Mã không hợp lệ"))</f>
        <v/>
      </c>
      <c r="E27" s="3" t="str">
        <f>IF(C27="","",IFERROR(VLOOKUP(C27,DS_ma!$A$1:$C$30,3,FALSE),""))</f>
        <v/>
      </c>
      <c r="F27" s="11"/>
      <c r="G27" s="11"/>
      <c r="H27" s="11"/>
      <c r="I27" s="11"/>
      <c r="J27" s="11"/>
      <c r="K27" s="11"/>
      <c r="L27" s="11"/>
    </row>
    <row r="28" spans="1:12" ht="18.75" x14ac:dyDescent="0.25">
      <c r="A28" s="11"/>
      <c r="B28" s="11"/>
      <c r="C28" s="11"/>
      <c r="D28" s="10" t="str">
        <f>IF(C28="","",IFERROR(VLOOKUP(C28,DS_ma!$A$1:$C$30,2,FALSE),"Mã không hợp lệ"))</f>
        <v/>
      </c>
      <c r="E28" s="3" t="str">
        <f>IF(C28="","",IFERROR(VLOOKUP(C28,DS_ma!$A$1:$C$30,3,FALSE),""))</f>
        <v/>
      </c>
      <c r="F28" s="11"/>
      <c r="G28" s="11"/>
      <c r="H28" s="11"/>
      <c r="I28" s="11"/>
      <c r="J28" s="11"/>
      <c r="K28" s="11"/>
      <c r="L28" s="11"/>
    </row>
    <row r="29" spans="1:12" ht="18.75" x14ac:dyDescent="0.25">
      <c r="A29" s="11"/>
      <c r="B29" s="11"/>
      <c r="C29" s="11"/>
      <c r="D29" s="10" t="str">
        <f>IF(C29="","",IFERROR(VLOOKUP(C29,DS_ma!$A$1:$C$30,2,FALSE),"Mã không hợp lệ"))</f>
        <v/>
      </c>
      <c r="E29" s="3" t="str">
        <f>IF(C29="","",IFERROR(VLOOKUP(C29,DS_ma!$A$1:$C$30,3,FALSE),""))</f>
        <v/>
      </c>
      <c r="F29" s="11"/>
      <c r="G29" s="11"/>
      <c r="H29" s="11"/>
      <c r="I29" s="11"/>
      <c r="J29" s="11"/>
      <c r="K29" s="11"/>
      <c r="L29" s="11"/>
    </row>
    <row r="30" spans="1:12" ht="18.75" x14ac:dyDescent="0.25">
      <c r="A30" s="11"/>
      <c r="B30" s="11"/>
      <c r="C30" s="11"/>
      <c r="D30" s="10" t="str">
        <f>IF(C30="","",IFERROR(VLOOKUP(C30,DS_ma!$A$1:$C$30,2,FALSE),"Mã không hợp lệ"))</f>
        <v/>
      </c>
      <c r="E30" s="3" t="str">
        <f>IF(C30="","",IFERROR(VLOOKUP(C30,DS_ma!$A$1:$C$30,3,FALSE),""))</f>
        <v/>
      </c>
      <c r="F30" s="11"/>
      <c r="G30" s="11"/>
      <c r="H30" s="11"/>
      <c r="I30" s="11"/>
      <c r="J30" s="11"/>
      <c r="K30" s="11"/>
      <c r="L30" s="11"/>
    </row>
    <row r="31" spans="1:12" ht="18.75" x14ac:dyDescent="0.25">
      <c r="A31" s="11"/>
      <c r="B31" s="11"/>
      <c r="C31" s="11"/>
      <c r="D31" s="10" t="str">
        <f>IF(C31="","",IFERROR(VLOOKUP(C31,DS_ma!$A$1:$C$30,2,FALSE),"Mã không hợp lệ"))</f>
        <v/>
      </c>
      <c r="E31" s="3" t="str">
        <f>IF(C31="","",IFERROR(VLOOKUP(C31,DS_ma!$A$1:$C$30,3,FALSE),""))</f>
        <v/>
      </c>
      <c r="F31" s="11"/>
      <c r="G31" s="11"/>
      <c r="H31" s="11"/>
      <c r="I31" s="11"/>
      <c r="J31" s="11"/>
      <c r="K31" s="11"/>
      <c r="L31" s="11"/>
    </row>
    <row r="32" spans="1:12" ht="18.75" x14ac:dyDescent="0.25">
      <c r="A32" s="11"/>
      <c r="B32" s="11"/>
      <c r="C32" s="11"/>
      <c r="D32" s="10" t="str">
        <f>IF(C32="","",IFERROR(VLOOKUP(C32,DS_ma!$A$1:$C$30,2,FALSE),"Mã không hợp lệ"))</f>
        <v/>
      </c>
      <c r="E32" s="3" t="str">
        <f>IF(C32="","",IFERROR(VLOOKUP(C32,DS_ma!$A$1:$C$30,3,FALSE),""))</f>
        <v/>
      </c>
      <c r="F32" s="11"/>
      <c r="G32" s="11"/>
      <c r="H32" s="11"/>
      <c r="I32" s="11"/>
      <c r="J32" s="11"/>
      <c r="K32" s="11"/>
      <c r="L32" s="11"/>
    </row>
    <row r="33" spans="1:12" ht="18.75" x14ac:dyDescent="0.25">
      <c r="A33" s="11"/>
      <c r="B33" s="11"/>
      <c r="C33" s="11"/>
      <c r="D33" s="10" t="str">
        <f>IF(C33="","",IFERROR(VLOOKUP(C33,DS_ma!$A$1:$C$30,2,FALSE),"Mã không hợp lệ"))</f>
        <v/>
      </c>
      <c r="E33" s="3" t="str">
        <f>IF(C33="","",IFERROR(VLOOKUP(C33,DS_ma!$A$1:$C$30,3,FALSE),""))</f>
        <v/>
      </c>
      <c r="F33" s="11"/>
      <c r="G33" s="11"/>
      <c r="H33" s="11"/>
      <c r="I33" s="11"/>
      <c r="J33" s="11"/>
      <c r="K33" s="11"/>
      <c r="L33" s="11"/>
    </row>
    <row r="34" spans="1:12" ht="18.75" x14ac:dyDescent="0.25">
      <c r="A34" s="11"/>
      <c r="B34" s="11"/>
      <c r="C34" s="11"/>
      <c r="D34" s="10" t="str">
        <f>IF(C34="","",IFERROR(VLOOKUP(C34,DS_ma!$A$1:$C$30,2,FALSE),"Mã không hợp lệ"))</f>
        <v/>
      </c>
      <c r="E34" s="3" t="str">
        <f>IF(C34="","",IFERROR(VLOOKUP(C34,DS_ma!$A$1:$C$30,3,FALSE),""))</f>
        <v/>
      </c>
      <c r="F34" s="11"/>
      <c r="G34" s="11"/>
      <c r="H34" s="11"/>
      <c r="I34" s="11"/>
      <c r="J34" s="11"/>
      <c r="K34" s="11"/>
      <c r="L34" s="11"/>
    </row>
    <row r="35" spans="1:12" ht="18.75" x14ac:dyDescent="0.25">
      <c r="A35" s="11"/>
      <c r="B35" s="11"/>
      <c r="C35" s="11"/>
      <c r="D35" s="10" t="str">
        <f>IF(C35="","",IFERROR(VLOOKUP(C35,DS_ma!$A$1:$C$30,2,FALSE),"Mã không hợp lệ"))</f>
        <v/>
      </c>
      <c r="E35" s="3" t="str">
        <f>IF(C35="","",IFERROR(VLOOKUP(C35,DS_ma!$A$1:$C$30,3,FALSE),""))</f>
        <v/>
      </c>
      <c r="F35" s="11"/>
      <c r="G35" s="11"/>
      <c r="H35" s="11"/>
      <c r="I35" s="11"/>
      <c r="J35" s="11"/>
      <c r="K35" s="11"/>
      <c r="L35" s="11"/>
    </row>
    <row r="36" spans="1:12" ht="18.75" x14ac:dyDescent="0.25">
      <c r="A36" s="11"/>
      <c r="B36" s="11"/>
      <c r="C36" s="11"/>
      <c r="D36" s="10" t="str">
        <f>IF(C36="","",IFERROR(VLOOKUP(C36,DS_ma!$A$1:$C$30,2,FALSE),"Mã không hợp lệ"))</f>
        <v/>
      </c>
      <c r="E36" s="3" t="str">
        <f>IF(C36="","",IFERROR(VLOOKUP(C36,DS_ma!$A$1:$C$30,3,FALSE),""))</f>
        <v/>
      </c>
      <c r="F36" s="11"/>
      <c r="G36" s="11"/>
      <c r="H36" s="11"/>
      <c r="I36" s="11"/>
      <c r="J36" s="11"/>
      <c r="K36" s="11"/>
      <c r="L36" s="11"/>
    </row>
    <row r="37" spans="1:12" ht="18.75" x14ac:dyDescent="0.25">
      <c r="A37" s="11"/>
      <c r="B37" s="11"/>
      <c r="C37" s="11"/>
      <c r="D37" s="10" t="str">
        <f>IF(C37="","",IFERROR(VLOOKUP(C37,DS_ma!$A$1:$C$30,2,FALSE),"Mã không hợp lệ"))</f>
        <v/>
      </c>
      <c r="E37" s="3" t="str">
        <f>IF(C37="","",IFERROR(VLOOKUP(C37,DS_ma!$A$1:$C$30,3,FALSE),""))</f>
        <v/>
      </c>
      <c r="F37" s="11"/>
      <c r="G37" s="11"/>
      <c r="H37" s="11"/>
      <c r="I37" s="11"/>
      <c r="J37" s="11"/>
      <c r="K37" s="11"/>
      <c r="L37" s="11"/>
    </row>
    <row r="38" spans="1:12" ht="18.75" x14ac:dyDescent="0.25">
      <c r="A38" s="11"/>
      <c r="B38" s="11"/>
      <c r="C38" s="11"/>
      <c r="D38" s="10" t="str">
        <f>IF(C38="","",IFERROR(VLOOKUP(C38,DS_ma!$A$1:$C$30,2,FALSE),"Mã không hợp lệ"))</f>
        <v/>
      </c>
      <c r="E38" s="3" t="str">
        <f>IF(C38="","",IFERROR(VLOOKUP(C38,DS_ma!$A$1:$C$30,3,FALSE),""))</f>
        <v/>
      </c>
      <c r="F38" s="11"/>
      <c r="G38" s="11"/>
      <c r="H38" s="11"/>
      <c r="I38" s="11"/>
      <c r="J38" s="11"/>
      <c r="K38" s="11"/>
      <c r="L38" s="11"/>
    </row>
    <row r="39" spans="1:12" ht="18.75" x14ac:dyDescent="0.25">
      <c r="A39" s="11"/>
      <c r="B39" s="11"/>
      <c r="C39" s="11"/>
      <c r="D39" s="10" t="str">
        <f>IF(C39="","",IFERROR(VLOOKUP(C39,DS_ma!$A$1:$C$30,2,FALSE),"Mã không hợp lệ"))</f>
        <v/>
      </c>
      <c r="E39" s="3" t="str">
        <f>IF(C39="","",IFERROR(VLOOKUP(C39,DS_ma!$A$1:$C$30,3,FALSE),""))</f>
        <v/>
      </c>
      <c r="F39" s="11"/>
      <c r="G39" s="11"/>
      <c r="H39" s="11"/>
      <c r="I39" s="11"/>
      <c r="J39" s="11"/>
      <c r="K39" s="11"/>
      <c r="L39" s="11"/>
    </row>
    <row r="40" spans="1:12" ht="18.75" x14ac:dyDescent="0.25">
      <c r="A40" s="11"/>
      <c r="B40" s="11"/>
      <c r="C40" s="11"/>
      <c r="D40" s="10" t="str">
        <f>IF(C40="","",IFERROR(VLOOKUP(C40,DS_ma!$A$1:$C$30,2,FALSE),"Mã không hợp lệ"))</f>
        <v/>
      </c>
      <c r="E40" s="3" t="str">
        <f>IF(C40="","",IFERROR(VLOOKUP(C40,DS_ma!$A$1:$C$30,3,FALSE),""))</f>
        <v/>
      </c>
      <c r="F40" s="11"/>
      <c r="G40" s="11"/>
      <c r="H40" s="11"/>
      <c r="I40" s="11"/>
      <c r="J40" s="11"/>
      <c r="K40" s="11"/>
      <c r="L40" s="11"/>
    </row>
    <row r="41" spans="1:12" ht="18.75" x14ac:dyDescent="0.25">
      <c r="A41" s="11"/>
      <c r="B41" s="11"/>
      <c r="C41" s="11"/>
      <c r="D41" s="10" t="str">
        <f>IF(C41="","",IFERROR(VLOOKUP(C41,DS_ma!$A$1:$C$30,2,FALSE),"Mã không hợp lệ"))</f>
        <v/>
      </c>
      <c r="E41" s="3" t="str">
        <f>IF(C41="","",IFERROR(VLOOKUP(C41,DS_ma!$A$1:$C$30,3,FALSE),""))</f>
        <v/>
      </c>
      <c r="F41" s="11"/>
      <c r="G41" s="11"/>
      <c r="H41" s="11"/>
      <c r="I41" s="11"/>
      <c r="J41" s="11"/>
      <c r="K41" s="11"/>
      <c r="L41" s="11"/>
    </row>
    <row r="42" spans="1:12" ht="18.75" x14ac:dyDescent="0.25">
      <c r="A42" s="11"/>
      <c r="B42" s="11"/>
      <c r="C42" s="11"/>
      <c r="D42" s="10" t="str">
        <f>IF(C42="","",IFERROR(VLOOKUP(C42,DS_ma!$A$1:$C$30,2,FALSE),"Mã không hợp lệ"))</f>
        <v/>
      </c>
      <c r="E42" s="3" t="str">
        <f>IF(C42="","",IFERROR(VLOOKUP(C42,DS_ma!$A$1:$C$30,3,FALSE),""))</f>
        <v/>
      </c>
      <c r="F42" s="11"/>
      <c r="G42" s="11"/>
      <c r="H42" s="11"/>
      <c r="I42" s="11"/>
      <c r="J42" s="11"/>
      <c r="K42" s="11"/>
      <c r="L42" s="11"/>
    </row>
    <row r="43" spans="1:12" ht="18.75" x14ac:dyDescent="0.25">
      <c r="A43" s="11"/>
      <c r="B43" s="11"/>
      <c r="C43" s="11"/>
      <c r="D43" s="10" t="str">
        <f>IF(C43="","",IFERROR(VLOOKUP(C43,DS_ma!$A$1:$C$30,2,FALSE),"Mã không hợp lệ"))</f>
        <v/>
      </c>
      <c r="E43" s="3" t="str">
        <f>IF(C43="","",IFERROR(VLOOKUP(C43,DS_ma!$A$1:$C$30,3,FALSE),""))</f>
        <v/>
      </c>
      <c r="F43" s="11"/>
      <c r="G43" s="11"/>
      <c r="H43" s="11"/>
      <c r="I43" s="11"/>
      <c r="J43" s="11"/>
      <c r="K43" s="11"/>
      <c r="L43" s="11"/>
    </row>
  </sheetData>
  <mergeCells count="2">
    <mergeCell ref="A2:L2"/>
    <mergeCell ref="A1:L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DS_ma!$A$1:$A$30</xm:f>
          </x14:formula1>
          <xm:sqref>C4:C43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/>
  </sheetViews>
  <sheetFormatPr defaultRowHeight="15" x14ac:dyDescent="0.25"/>
  <sheetData>
    <row r="1" spans="1:3" x14ac:dyDescent="0.25">
      <c r="A1" t="s">
        <v>27</v>
      </c>
      <c r="B1" t="s">
        <v>28</v>
      </c>
      <c r="C1" t="s">
        <v>11</v>
      </c>
    </row>
    <row r="2" spans="1:3" x14ac:dyDescent="0.25">
      <c r="A2" t="s">
        <v>29</v>
      </c>
      <c r="B2" t="s">
        <v>30</v>
      </c>
      <c r="C2" t="s">
        <v>11</v>
      </c>
    </row>
    <row r="3" spans="1:3" x14ac:dyDescent="0.25">
      <c r="A3" t="s">
        <v>31</v>
      </c>
      <c r="B3" t="s">
        <v>32</v>
      </c>
      <c r="C3" t="s">
        <v>11</v>
      </c>
    </row>
    <row r="4" spans="1:3" x14ac:dyDescent="0.25">
      <c r="A4" t="s">
        <v>33</v>
      </c>
      <c r="B4" t="s">
        <v>34</v>
      </c>
      <c r="C4" t="s">
        <v>9</v>
      </c>
    </row>
    <row r="5" spans="1:3" x14ac:dyDescent="0.25">
      <c r="A5" t="s">
        <v>35</v>
      </c>
      <c r="B5" t="s">
        <v>36</v>
      </c>
      <c r="C5" t="s">
        <v>9</v>
      </c>
    </row>
    <row r="6" spans="1:3" x14ac:dyDescent="0.25">
      <c r="A6" t="s">
        <v>37</v>
      </c>
      <c r="B6" t="s">
        <v>38</v>
      </c>
      <c r="C6" t="s">
        <v>9</v>
      </c>
    </row>
    <row r="7" spans="1:3" x14ac:dyDescent="0.25">
      <c r="A7" t="s">
        <v>39</v>
      </c>
      <c r="B7" t="s">
        <v>40</v>
      </c>
      <c r="C7" t="s">
        <v>9</v>
      </c>
    </row>
    <row r="8" spans="1:3" x14ac:dyDescent="0.25">
      <c r="A8" t="s">
        <v>41</v>
      </c>
      <c r="B8" t="s">
        <v>42</v>
      </c>
      <c r="C8" t="s">
        <v>9</v>
      </c>
    </row>
    <row r="9" spans="1:3" x14ac:dyDescent="0.25">
      <c r="A9" t="s">
        <v>43</v>
      </c>
      <c r="B9" t="s">
        <v>44</v>
      </c>
      <c r="C9" t="s">
        <v>9</v>
      </c>
    </row>
    <row r="10" spans="1:3" x14ac:dyDescent="0.25">
      <c r="A10" t="s">
        <v>45</v>
      </c>
      <c r="B10" t="s">
        <v>46</v>
      </c>
      <c r="C10" t="s">
        <v>9</v>
      </c>
    </row>
    <row r="11" spans="1:3" x14ac:dyDescent="0.25">
      <c r="A11" t="s">
        <v>47</v>
      </c>
      <c r="B11" t="s">
        <v>48</v>
      </c>
      <c r="C11" t="s">
        <v>9</v>
      </c>
    </row>
    <row r="12" spans="1:3" x14ac:dyDescent="0.25">
      <c r="A12" t="s">
        <v>49</v>
      </c>
      <c r="B12" t="s">
        <v>50</v>
      </c>
      <c r="C12" t="s">
        <v>9</v>
      </c>
    </row>
    <row r="13" spans="1:3" x14ac:dyDescent="0.25">
      <c r="A13" t="s">
        <v>51</v>
      </c>
      <c r="B13" t="s">
        <v>52</v>
      </c>
      <c r="C13" t="s">
        <v>7</v>
      </c>
    </row>
    <row r="14" spans="1:3" x14ac:dyDescent="0.25">
      <c r="A14" t="s">
        <v>53</v>
      </c>
      <c r="B14" t="s">
        <v>54</v>
      </c>
      <c r="C14" t="s">
        <v>7</v>
      </c>
    </row>
    <row r="15" spans="1:3" x14ac:dyDescent="0.25">
      <c r="A15" t="s">
        <v>55</v>
      </c>
      <c r="B15" t="s">
        <v>56</v>
      </c>
      <c r="C15" t="s">
        <v>7</v>
      </c>
    </row>
    <row r="16" spans="1:3" x14ac:dyDescent="0.25">
      <c r="A16" t="s">
        <v>57</v>
      </c>
      <c r="B16" t="s">
        <v>58</v>
      </c>
      <c r="C16" t="s">
        <v>7</v>
      </c>
    </row>
    <row r="17" spans="1:3" x14ac:dyDescent="0.25">
      <c r="A17" t="s">
        <v>59</v>
      </c>
      <c r="B17" t="s">
        <v>60</v>
      </c>
      <c r="C17" t="s">
        <v>7</v>
      </c>
    </row>
    <row r="18" spans="1:3" x14ac:dyDescent="0.25">
      <c r="A18" t="s">
        <v>61</v>
      </c>
      <c r="B18" t="s">
        <v>62</v>
      </c>
      <c r="C18" t="s">
        <v>7</v>
      </c>
    </row>
    <row r="19" spans="1:3" x14ac:dyDescent="0.25">
      <c r="A19" t="s">
        <v>63</v>
      </c>
      <c r="B19" t="s">
        <v>64</v>
      </c>
      <c r="C19" t="s">
        <v>7</v>
      </c>
    </row>
    <row r="20" spans="1:3" x14ac:dyDescent="0.25">
      <c r="A20" t="s">
        <v>65</v>
      </c>
      <c r="B20" t="s">
        <v>66</v>
      </c>
      <c r="C20" t="s">
        <v>7</v>
      </c>
    </row>
    <row r="21" spans="1:3" x14ac:dyDescent="0.25">
      <c r="A21" t="s">
        <v>67</v>
      </c>
      <c r="B21" t="s">
        <v>68</v>
      </c>
      <c r="C21" t="s">
        <v>7</v>
      </c>
    </row>
    <row r="22" spans="1:3" x14ac:dyDescent="0.25">
      <c r="A22" t="s">
        <v>69</v>
      </c>
      <c r="B22" t="s">
        <v>70</v>
      </c>
      <c r="C22" t="s">
        <v>7</v>
      </c>
    </row>
    <row r="23" spans="1:3" x14ac:dyDescent="0.25">
      <c r="A23" t="s">
        <v>71</v>
      </c>
      <c r="B23" t="s">
        <v>72</v>
      </c>
      <c r="C23" t="s">
        <v>7</v>
      </c>
    </row>
    <row r="24" spans="1:3" x14ac:dyDescent="0.25">
      <c r="A24" t="s">
        <v>73</v>
      </c>
      <c r="B24" t="s">
        <v>74</v>
      </c>
      <c r="C24" t="s">
        <v>7</v>
      </c>
    </row>
    <row r="25" spans="1:3" x14ac:dyDescent="0.25">
      <c r="A25" t="s">
        <v>75</v>
      </c>
      <c r="B25" t="s">
        <v>76</v>
      </c>
      <c r="C25" t="s">
        <v>7</v>
      </c>
    </row>
    <row r="26" spans="1:3" x14ac:dyDescent="0.25">
      <c r="A26" t="s">
        <v>77</v>
      </c>
      <c r="B26" t="s">
        <v>78</v>
      </c>
      <c r="C26" t="s">
        <v>7</v>
      </c>
    </row>
    <row r="27" spans="1:3" x14ac:dyDescent="0.25">
      <c r="A27" t="s">
        <v>79</v>
      </c>
      <c r="B27" t="s">
        <v>80</v>
      </c>
      <c r="C27" t="s">
        <v>7</v>
      </c>
    </row>
    <row r="28" spans="1:3" x14ac:dyDescent="0.25">
      <c r="A28" t="s">
        <v>81</v>
      </c>
      <c r="B28" t="s">
        <v>82</v>
      </c>
      <c r="C28" t="s">
        <v>7</v>
      </c>
    </row>
    <row r="29" spans="1:3" x14ac:dyDescent="0.25">
      <c r="A29" t="s">
        <v>83</v>
      </c>
      <c r="B29" t="s">
        <v>84</v>
      </c>
      <c r="C29" t="s">
        <v>7</v>
      </c>
    </row>
    <row r="30" spans="1:3" x14ac:dyDescent="0.25">
      <c r="A30" t="s">
        <v>85</v>
      </c>
      <c r="B30" t="s">
        <v>86</v>
      </c>
      <c r="C30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Tổng quan</vt:lpstr>
      <vt:lpstr>Đề tài Khó</vt:lpstr>
      <vt:lpstr>Đề tài Vừa</vt:lpstr>
      <vt:lpstr>Đề tài Dễ</vt:lpstr>
      <vt:lpstr>Kế hoạch 4 tuần</vt:lpstr>
      <vt:lpstr>Tiêu chí đánh giá</vt:lpstr>
      <vt:lpstr>Đăng ký nhóm</vt:lpstr>
      <vt:lpstr>DS_ma</vt:lpstr>
      <vt:lpstr>'Đề tài Dễ'!Print_Titles</vt:lpstr>
      <vt:lpstr>'Đề tài Khó'!Print_Titles</vt:lpstr>
      <vt:lpstr>'Đề tài Vừa'!Print_Titles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Quang Dai</cp:lastModifiedBy>
  <dcterms:created xsi:type="dcterms:W3CDTF">2026-09-22T07:15:42Z</dcterms:created>
  <dcterms:modified xsi:type="dcterms:W3CDTF">2026-10-21T10:58:03Z</dcterms:modified>
</cp:coreProperties>
</file>